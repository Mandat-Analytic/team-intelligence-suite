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Fiver Task\Tammo\Tree Matrices\database\Team Stats\Germany Frauen Bundesliga 25_26\"/>
    </mc:Choice>
  </mc:AlternateContent>
  <xr:revisionPtr revIDLastSave="0" documentId="13_ncr:1_{6967FF1A-4381-4D8C-9ED6-8C974DCFA5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" i="1" l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<sst xmlns="http://schemas.openxmlformats.org/spreadsheetml/2006/main" count="251" uniqueCount="109">
  <si>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</si>
  <si>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</si>
  <si>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</si>
  <si>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</si>
  <si>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</si>
  <si>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</si>
  <si>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</si>
  <si>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</si>
  <si>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</si>
  <si>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</si>
  <si>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</si>
  <si>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</si>
  <si>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</si>
  <si>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</si>
  <si>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</si>
  <si>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</si>
  <si>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</si>
  <si>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</si>
  <si>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</si>
  <si>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</si>
  <si>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</si>
  <si>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</si>
  <si>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</si>
  <si>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</si>
  <si>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</si>
  <si>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</si>
  <si>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</si>
  <si>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</si>
  <si>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</si>
  <si>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</si>
  <si>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</si>
  <si>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</si>
  <si>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</si>
  <si>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</si>
  <si>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</si>
  <si>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</si>
  <si>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</si>
  <si>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</si>
  <si>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</si>
  <si>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</si>
  <si>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</si>
  <si>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</si>
  <si>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</si>
  <si>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</si>
  <si>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</si>
  <si>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</si>
  <si>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</si>
  <si>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</si>
  <si>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</si>
  <si>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</si>
  <si>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</si>
  <si>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</si>
  <si>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</si>
  <si>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</si>
  <si>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Union Berlin</t>
  </si>
  <si>
    <t>Opponents</t>
  </si>
  <si>
    <t>2025-12-20</t>
  </si>
  <si>
    <t>Nürnberg - Union Berlin 1:2</t>
  </si>
  <si>
    <t>Germany. Frauen Bundesliga</t>
  </si>
  <si>
    <t>4-4-2 (100.0%)</t>
  </si>
  <si>
    <t>Nürnberg</t>
  </si>
  <si>
    <t>2025-12-15</t>
  </si>
  <si>
    <t>Union Berlin - Eintracht Frankfurt 2:2</t>
  </si>
  <si>
    <t>Eintracht Frankfurt</t>
  </si>
  <si>
    <t>4-1-3-2 (100.0%)</t>
  </si>
  <si>
    <t>2025-12-07</t>
  </si>
  <si>
    <t>Hoffenheim - Union Berlin 3:0</t>
  </si>
  <si>
    <t>Hoffenheim</t>
  </si>
  <si>
    <t>3-5-2 (100.0%)</t>
  </si>
  <si>
    <t>2025-11-21</t>
  </si>
  <si>
    <t>Union Berlin - Hamburger SV 1:1</t>
  </si>
  <si>
    <t>Hamburger SV</t>
  </si>
  <si>
    <t>2025-11-07</t>
  </si>
  <si>
    <t>Bayern München - Union Berlin 4:0</t>
  </si>
  <si>
    <t>5-4-1 (100.0%)</t>
  </si>
  <si>
    <t>Bayern München</t>
  </si>
  <si>
    <t>4-2-3-1 (100.0%)</t>
  </si>
  <si>
    <t>2025-11-04</t>
  </si>
  <si>
    <t>Union Berlin - Wolfsburg 1:4</t>
  </si>
  <si>
    <t>Wolfsburg</t>
  </si>
  <si>
    <t>2025-11-01</t>
  </si>
  <si>
    <t>Werder Bremen - Union Berlin 3:0</t>
  </si>
  <si>
    <t>Werder Bremen</t>
  </si>
  <si>
    <t>2025-10-19</t>
  </si>
  <si>
    <t>Union Berlin - RB Leipzig 5:0</t>
  </si>
  <si>
    <t>RB Leipzig</t>
  </si>
  <si>
    <t>3-4-2-1 (100.0%)</t>
  </si>
  <si>
    <t>2025-10-12</t>
  </si>
  <si>
    <t>Köln - Union Berlin 2:1</t>
  </si>
  <si>
    <t>Köln</t>
  </si>
  <si>
    <t>2025-10-05</t>
  </si>
  <si>
    <t>Union Berlin - Freiburg 0:3</t>
  </si>
  <si>
    <t>5-3-2 (23.15%)</t>
  </si>
  <si>
    <t>Freiburg</t>
  </si>
  <si>
    <t>2025-09-23</t>
  </si>
  <si>
    <t>Carl Zeiss Jena - Union Berlin 1:2</t>
  </si>
  <si>
    <t>Carl Zeiss Jena</t>
  </si>
  <si>
    <t>5-3-2 (100.0%)</t>
  </si>
  <si>
    <t>2025-09-20</t>
  </si>
  <si>
    <t>Union Berlin - SGS Essen 2:0</t>
  </si>
  <si>
    <t>SGS Essen</t>
  </si>
  <si>
    <t>4-3-3 (100.0%)</t>
  </si>
  <si>
    <t>2025-09-15</t>
  </si>
  <si>
    <t>Bayer Leverkusen - Union Berlin 3:2</t>
  </si>
  <si>
    <t>Bayer Leverkusen</t>
  </si>
  <si>
    <t>2025-09-07</t>
  </si>
  <si>
    <t>Union Berlin - Nürnberg 1:1</t>
  </si>
  <si>
    <t>3-4-1-2 (100.0%)</t>
  </si>
  <si>
    <t>4-4-2 (65.09%)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</si>
</sst>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1"/>
  <sheetViews>
    <sheetView tabSelected="1" showOutlineSymbols="0" showWhiteSpace="0" topLeftCell="CR1" workbookViewId="0">
      <selection activeCell="CY8" sqref="CY8"/>
    </sheetView>
  </sheetViews>
  <sheetFormatPr defaultRowHeight="14.25" x14ac:dyDescent="0.2"/>
  <cols>
    <col min="1" max="1" width="11.875" bestFit="1" customWidth="1"/>
    <col min="2" max="2" width="30.625" bestFit="1" customWidth="1"/>
    <col min="3" max="3" width="20.75" bestFit="1" customWidth="1"/>
    <col min="4" max="4" width="7.5" bestFit="1" customWidth="1"/>
    <col min="5" max="5" width="15.2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4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6.37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s="2" t="s">
        <v>18</v>
      </c>
      <c r="AK1" s="2" t="s">
        <v>9</v>
      </c>
      <c r="AL1" s="2" t="s">
        <v>9</v>
      </c>
      <c r="AM1" s="2" t="s">
        <v>19</v>
      </c>
      <c r="AN1" s="2" t="s">
        <v>9</v>
      </c>
      <c r="AO1" s="2" t="s">
        <v>9</v>
      </c>
      <c r="AP1" s="2" t="s">
        <v>20</v>
      </c>
      <c r="AQ1" s="2" t="s">
        <v>9</v>
      </c>
      <c r="AR1" s="2" t="s">
        <v>9</v>
      </c>
      <c r="AS1" s="2" t="s">
        <v>21</v>
      </c>
      <c r="AT1" s="2" t="s">
        <v>9</v>
      </c>
      <c r="AU1" s="2" t="s">
        <v>9</v>
      </c>
      <c r="AV1" s="2" t="s">
        <v>22</v>
      </c>
      <c r="AW1" s="2" t="s">
        <v>9</v>
      </c>
      <c r="AX1" s="2" t="s">
        <v>9</v>
      </c>
      <c r="AY1" t="s">
        <v>23</v>
      </c>
      <c r="AZ1" t="s">
        <v>24</v>
      </c>
      <c r="BA1" s="2" t="s">
        <v>25</v>
      </c>
      <c r="BB1" s="2" t="s">
        <v>9</v>
      </c>
      <c r="BC1" s="2" t="s">
        <v>9</v>
      </c>
      <c r="BD1" t="s">
        <v>26</v>
      </c>
      <c r="BE1" s="2" t="s">
        <v>27</v>
      </c>
      <c r="BF1" s="2" t="s">
        <v>9</v>
      </c>
      <c r="BG1" s="2" t="s">
        <v>9</v>
      </c>
      <c r="BH1" t="s">
        <v>28</v>
      </c>
      <c r="BI1" t="s">
        <v>29</v>
      </c>
      <c r="BJ1" s="2" t="s">
        <v>30</v>
      </c>
      <c r="BK1" s="2" t="s">
        <v>9</v>
      </c>
      <c r="BL1" s="2" t="s">
        <v>9</v>
      </c>
      <c r="BM1" s="2" t="s">
        <v>31</v>
      </c>
      <c r="BN1" s="2" t="s">
        <v>9</v>
      </c>
      <c r="BO1" s="2" t="s">
        <v>9</v>
      </c>
      <c r="BP1" s="2" t="s">
        <v>32</v>
      </c>
      <c r="BQ1" s="2" t="s">
        <v>9</v>
      </c>
      <c r="BR1" s="2" t="s">
        <v>9</v>
      </c>
      <c r="BS1" s="2" t="s">
        <v>33</v>
      </c>
      <c r="BT1" s="2" t="s">
        <v>9</v>
      </c>
      <c r="BU1" s="2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2" t="s">
        <v>39</v>
      </c>
      <c r="CB1" s="2" t="s">
        <v>9</v>
      </c>
      <c r="CC1" s="2" t="s">
        <v>9</v>
      </c>
      <c r="CD1" s="2" t="s">
        <v>40</v>
      </c>
      <c r="CE1" s="2" t="s">
        <v>9</v>
      </c>
      <c r="CF1" s="2" t="s">
        <v>9</v>
      </c>
      <c r="CG1" s="2" t="s">
        <v>41</v>
      </c>
      <c r="CH1" s="2" t="s">
        <v>9</v>
      </c>
      <c r="CI1" s="2" t="s">
        <v>9</v>
      </c>
      <c r="CJ1" s="2" t="s">
        <v>42</v>
      </c>
      <c r="CK1" s="2" t="s">
        <v>9</v>
      </c>
      <c r="CL1" s="2" t="s">
        <v>9</v>
      </c>
      <c r="CM1" s="2" t="s">
        <v>43</v>
      </c>
      <c r="CN1" s="2" t="s">
        <v>9</v>
      </c>
      <c r="CO1" s="2" t="s">
        <v>9</v>
      </c>
      <c r="CP1" s="2" t="s">
        <v>44</v>
      </c>
      <c r="CQ1" s="2" t="s">
        <v>9</v>
      </c>
      <c r="CR1" s="2" t="s">
        <v>9</v>
      </c>
      <c r="CS1" s="2" t="s">
        <v>45</v>
      </c>
      <c r="CT1" s="2" t="s">
        <v>9</v>
      </c>
      <c r="CU1" s="2" t="s">
        <v>9</v>
      </c>
      <c r="CV1" s="2" t="s">
        <v>46</v>
      </c>
      <c r="CW1" s="2" t="s">
        <v>9</v>
      </c>
      <c r="CX1" s="2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x14ac:dyDescent="0.2">
      <c r="A2" s="1" t="s">
        <v>54</v>
      </c>
      <c r="B2" s="1"/>
      <c r="C2" s="1"/>
      <c r="D2" s="1"/>
      <c r="E2" s="1"/>
      <c r="F2" s="1"/>
      <c r="G2" s="1">
        <f t="shared" ref="G2:J3" si="0">AVERAGE(G4,G6,G8,G10,G12,G14,G16,G18,G20,G22,G24,G26,G28,G30)</f>
        <v>1.3571428571428572</v>
      </c>
      <c r="H2" s="1">
        <f t="shared" si="0"/>
        <v>1.862857142857143</v>
      </c>
      <c r="I2" s="1">
        <f t="shared" si="0"/>
        <v>12.785714285714286</v>
      </c>
      <c r="J2" s="1">
        <f t="shared" si="0"/>
        <v>4.7857142857142856</v>
      </c>
      <c r="K2" s="1">
        <f>IFERROR(SUM(J4,J6,J8,J10,J12,J14,J16,J18,J20,J22,J24,J26,J28,J30)/SUM(I4,I6,I8,I10,I12,I14,I16,I18,I20,I22,I24,I26,I28,I30)*100,0)</f>
        <v>37.430167597765362</v>
      </c>
      <c r="L2" s="1">
        <f>AVERAGE(L4,L6,L8,L10,L12,L14,L16,L18,L20,L22,L24,L26,L28,L30)</f>
        <v>389.92857142857144</v>
      </c>
      <c r="M2" s="1">
        <f>AVERAGE(M4,M6,M8,M10,M12,M14,M16,M18,M20,M22,M24,M26,M28,M30)</f>
        <v>291.85714285714283</v>
      </c>
      <c r="N2" s="1">
        <f>IFERROR(SUM(M4,M6,M8,M10,M12,M14,M16,M18,M20,M22,M24,M26,M28,M30)/SUM(L4,L6,L8,L10,L12,L14,L16,L18,L20,L22,L24,L26,L28,L30)*100,0)</f>
        <v>74.848873420040292</v>
      </c>
      <c r="O2" s="1">
        <f t="shared" ref="O2:Y2" si="1">AVERAGE(O4,O6,O8,O10,O12,O14,O16,O18,O20,O22,O24,O26,O28,O30)</f>
        <v>48.809285714285714</v>
      </c>
      <c r="P2" s="1">
        <f t="shared" si="1"/>
        <v>138</v>
      </c>
      <c r="Q2" s="1">
        <f t="shared" si="1"/>
        <v>27.071428571428573</v>
      </c>
      <c r="R2" s="1">
        <f t="shared" si="1"/>
        <v>56.142857142857146</v>
      </c>
      <c r="S2" s="1">
        <f t="shared" si="1"/>
        <v>54.785714285714285</v>
      </c>
      <c r="T2" s="1">
        <f t="shared" si="1"/>
        <v>93.285714285714292</v>
      </c>
      <c r="U2" s="1">
        <f t="shared" si="1"/>
        <v>42.214285714285715</v>
      </c>
      <c r="V2" s="1">
        <f t="shared" si="1"/>
        <v>37.428571428571431</v>
      </c>
      <c r="W2" s="1">
        <f t="shared" si="1"/>
        <v>13.642857142857142</v>
      </c>
      <c r="X2" s="1">
        <f t="shared" si="1"/>
        <v>215.71428571428572</v>
      </c>
      <c r="Y2" s="1">
        <f t="shared" si="1"/>
        <v>102.78571428571429</v>
      </c>
      <c r="Z2" s="1">
        <f>IFERROR(SUM(Y4,Y6,Y8,Y10,Y12,Y14,Y16,Y18,Y20,Y22,Y24,Y26,Y28,Y30)/SUM(X4,X6,X8,X10,X12,X14,X16,X18,X20,X22,X24,X26,X28,X30)*100,0)</f>
        <v>47.649006622516552</v>
      </c>
      <c r="AA2" s="1">
        <f>AVERAGE(AA4,AA6,AA8,AA10,AA12,AA14,AA16,AA18,AA20,AA22,AA24,AA26,AA28,AA30)</f>
        <v>5.2857142857142856</v>
      </c>
      <c r="AB2" s="1">
        <f>AVERAGE(AB4,AB6,AB8,AB10,AB12,AB14,AB16,AB18,AB20,AB22,AB24,AB26,AB28,AB30)</f>
        <v>1.7857142857142858</v>
      </c>
      <c r="AC2" s="1">
        <f>IFERROR(SUM(AB4,AB6,AB8,AB10,AB12,AB14,AB16,AB18,AB20,AB22,AB24,AB26,AB28,AB30)/SUM(AA4,AA6,AA8,AA10,AA12,AA14,AA16,AA18,AA20,AA22,AA24,AA26,AA28,AA30)*100,0)</f>
        <v>33.783783783783782</v>
      </c>
      <c r="AD2" s="1">
        <f>AVERAGE(AD4,AD6,AD8,AD10,AD12,AD14,AD16,AD18,AD20,AD22,AD24,AD26,AD28,AD30)</f>
        <v>29.285714285714285</v>
      </c>
      <c r="AE2" s="1">
        <f>AVERAGE(AE4,AE6,AE8,AE10,AE12,AE14,AE16,AE18,AE20,AE22,AE24,AE26,AE28,AE30)</f>
        <v>8.5714285714285712</v>
      </c>
      <c r="AF2" s="1">
        <f>IFERROR(SUM(AE4,AE6,AE8,AE10,AE12,AE14,AE16,AE18,AE20,AE22,AE24,AE26,AE28,AE30)/SUM(AD4,AD6,AD8,AD10,AD12,AD14,AD16,AD18,AD20,AD22,AD24,AD26,AD28,AD30)*100,0)</f>
        <v>29.268292682926827</v>
      </c>
      <c r="AG2" s="1">
        <f>AVERAGE(AG4,AG6,AG8,AG10,AG12,AG14,AG16,AG18,AG20,AG22,AG24,AG26,AG28,AG30)</f>
        <v>0.14285714285714285</v>
      </c>
      <c r="AH2" s="1">
        <f>AVERAGE(AH4,AH6,AH8,AH10,AH12,AH14,AH16,AH18,AH20,AH22,AH24,AH26,AH28,AH30)</f>
        <v>0</v>
      </c>
      <c r="AI2" s="1">
        <f>IFERROR(SUM(AH4,AH6,AH8,AH10,AH12,AH14,AH16,AH18,AH20,AH22,AH24,AH26,AH28,AH30)/SUM(AG4,AG6,AG8,AG10,AG12,AG14,AG16,AG18,AG20,AG22,AG24,AG26,AG28,AG30)*100,0)</f>
        <v>0</v>
      </c>
      <c r="AJ2" s="1">
        <f>AVERAGE(AJ4,AJ6,AJ8,AJ10,AJ12,AJ14,AJ16,AJ18,AJ20,AJ22,AJ24,AJ26,AJ28,AJ30)</f>
        <v>26.428571428571427</v>
      </c>
      <c r="AK2" s="1">
        <f>AVERAGE(AK4,AK6,AK8,AK10,AK12,AK14,AK16,AK18,AK20,AK22,AK24,AK26,AK28,AK30)</f>
        <v>3.2857142857142856</v>
      </c>
      <c r="AL2" s="1">
        <f>IFERROR(SUM(AK4,AK6,AK8,AK10,AK12,AK14,AK16,AK18,AK20,AK22,AK24,AK26,AK28,AK30)/SUM(AJ4,AJ6,AJ8,AJ10,AJ12,AJ14,AJ16,AJ18,AJ20,AJ22,AJ24,AJ26,AJ28,AJ30)*100,0)</f>
        <v>12.432432432432433</v>
      </c>
      <c r="AM2" s="1">
        <f>AVERAGE(AM4,AM6,AM8,AM10,AM12,AM14,AM16,AM18,AM20,AM22,AM24,AM26,AM28,AM30)</f>
        <v>5.7142857142857144</v>
      </c>
      <c r="AN2" s="1">
        <f>AVERAGE(AN4,AN6,AN8,AN10,AN12,AN14,AN16,AN18,AN20,AN22,AN24,AN26,AN28,AN30)</f>
        <v>1.9285714285714286</v>
      </c>
      <c r="AO2" s="1">
        <f>IFERROR(SUM(AN4,AN6,AN8,AN10,AN12,AN14,AN16,AN18,AN20,AN22,AN24,AN26,AN28,AN30)/SUM(AM4,AM6,AM8,AM10,AM12,AM14,AM16,AM18,AM20,AM22,AM24,AM26,AM28,AM30)*100,0)</f>
        <v>33.75</v>
      </c>
      <c r="AP2" s="1">
        <f>AVERAGE(AP4,AP6,AP8,AP10,AP12,AP14,AP16,AP18,AP20,AP22,AP24,AP26,AP28,AP30)</f>
        <v>2.6428571428571428</v>
      </c>
      <c r="AQ2" s="1">
        <f>AVERAGE(AQ4,AQ6,AQ8,AQ10,AQ12,AQ14,AQ16,AQ18,AQ20,AQ22,AQ24,AQ26,AQ28,AQ30)</f>
        <v>0.5714285714285714</v>
      </c>
      <c r="AR2" s="1">
        <f>IFERROR(SUM(AQ4,AQ6,AQ8,AQ10,AQ12,AQ14,AQ16,AQ18,AQ20,AQ22,AQ24,AQ26,AQ28,AQ30)/SUM(AP4,AP6,AP8,AP10,AP12,AP14,AP16,AP18,AP20,AP22,AP24,AP26,AP28,AP30)*100,0)</f>
        <v>21.621621621621621</v>
      </c>
      <c r="AS2" s="1">
        <f>AVERAGE(AS4,AS6,AS8,AS10,AS12,AS14,AS16,AS18,AS20,AS22,AS24,AS26,AS28,AS30)</f>
        <v>0.2857142857142857</v>
      </c>
      <c r="AT2" s="1">
        <f>AVERAGE(AT4,AT6,AT8,AT10,AT12,AT14,AT16,AT18,AT20,AT22,AT24,AT26,AT28,AT30)</f>
        <v>0.14285714285714285</v>
      </c>
      <c r="AU2" s="1">
        <f>IFERROR(SUM(AT4,AT6,AT8,AT10,AT12,AT14,AT16,AT18,AT20,AT22,AT24,AT26,AT28,AT30)/SUM(AS4,AS6,AS8,AS10,AS12,AS14,AS16,AS18,AS20,AS22,AS24,AS26,AS28,AS30)*100,0)</f>
        <v>50</v>
      </c>
      <c r="AV2" s="1">
        <f>AVERAGE(AV4,AV6,AV8,AV10,AV12,AV14,AV16,AV18,AV20,AV22,AV24,AV26,AV28,AV30)</f>
        <v>16.857142857142858</v>
      </c>
      <c r="AW2" s="1">
        <f>AVERAGE(AW4,AW6,AW8,AW10,AW12,AW14,AW16,AW18,AW20,AW22,AW24,AW26,AW28,AW30)</f>
        <v>5.4285714285714288</v>
      </c>
      <c r="AX2" s="1">
        <f>IFERROR(SUM(AW4,AW6,AW8,AW10,AW12,AW14,AW16,AW18,AW20,AW22,AW24,AW26,AW28,AW30)/SUM(AV4,AV6,AV8,AV10,AV12,AV14,AV16,AV18,AV20,AV22,AV24,AV26,AV28,AV30)*100,0)</f>
        <v>32.20338983050847</v>
      </c>
      <c r="AY2" s="1">
        <f t="shared" ref="AY2:BF3" si="2">AVERAGE(AY4,AY6,AY8,AY10,AY12,AY14,AY16,AY18,AY20,AY22,AY24,AY26,AY28,AY30)</f>
        <v>5.5</v>
      </c>
      <c r="AZ2" s="1">
        <f t="shared" si="2"/>
        <v>6.7142857142857144</v>
      </c>
      <c r="BA2" s="1">
        <f t="shared" si="2"/>
        <v>23</v>
      </c>
      <c r="BB2" s="1">
        <f t="shared" si="2"/>
        <v>3.4285714285714284</v>
      </c>
      <c r="BC2" s="1">
        <f t="shared" si="2"/>
        <v>10.928571428571429</v>
      </c>
      <c r="BD2" s="1">
        <f t="shared" si="2"/>
        <v>18.714285714285715</v>
      </c>
      <c r="BE2" s="1">
        <f t="shared" si="2"/>
        <v>81.714285714285708</v>
      </c>
      <c r="BF2" s="1">
        <f t="shared" si="2"/>
        <v>25.642857142857142</v>
      </c>
      <c r="BG2" s="1">
        <f>IFERROR(SUM(BF4,BF6,BF8,BF10,BF12,BF14,BF16,BF18,BF20,BF22,BF24,BF26,BF28,BF30)/SUM(BE4,BE6,BE8,BE10,BE12,BE14,BE16,BE18,BE20,BE22,BE24,BE26,BE28,BE30)*100,0)</f>
        <v>31.38111888111888</v>
      </c>
      <c r="BH2" s="1">
        <f t="shared" ref="BH2:BK3" si="3">AVERAGE(BH4,BH6,BH8,BH10,BH12,BH14,BH16,BH18,BH20,BH22,BH24,BH26,BH28,BH30)</f>
        <v>2.2857142857142856</v>
      </c>
      <c r="BI2" s="1">
        <f t="shared" si="3"/>
        <v>2</v>
      </c>
      <c r="BJ2" s="1">
        <f t="shared" si="3"/>
        <v>12.642857142857142</v>
      </c>
      <c r="BK2" s="1">
        <f t="shared" si="3"/>
        <v>4.8571428571428568</v>
      </c>
      <c r="BL2" s="1">
        <f>IFERROR(SUM(BK4,BK6,BK8,BK10,BK12,BK14,BK16,BK18,BK20,BK22,BK24,BK26,BK28,BK30)/SUM(BJ4,BJ6,BJ8,BJ10,BJ12,BJ14,BJ16,BJ18,BJ20,BJ22,BJ24,BJ26,BJ28,BJ30)*100,0)</f>
        <v>38.418079096045197</v>
      </c>
      <c r="BM2" s="1">
        <f>AVERAGE(BM4,BM6,BM8,BM10,BM12,BM14,BM16,BM18,BM20,BM22,BM24,BM26,BM28,BM30)</f>
        <v>80.214285714285708</v>
      </c>
      <c r="BN2" s="1">
        <f>AVERAGE(BN4,BN6,BN8,BN10,BN12,BN14,BN16,BN18,BN20,BN22,BN24,BN26,BN28,BN30)</f>
        <v>53.428571428571431</v>
      </c>
      <c r="BO2" s="1">
        <f>IFERROR(SUM(BN4,BN6,BN8,BN10,BN12,BN14,BN16,BN18,BN20,BN22,BN24,BN26,BN28,BN30)/SUM(BM4,BM6,BM8,BM10,BM12,BM14,BM16,BM18,BM20,BM22,BM24,BM26,BM28,BM30)*100,0)</f>
        <v>66.607301869991105</v>
      </c>
      <c r="BP2" s="1">
        <f>AVERAGE(BP4,BP6,BP8,BP10,BP12,BP14,BP16,BP18,BP20,BP22,BP24,BP26,BP28,BP30)</f>
        <v>28.214285714285715</v>
      </c>
      <c r="BQ2" s="1">
        <f>AVERAGE(BQ4,BQ6,BQ8,BQ10,BQ12,BQ14,BQ16,BQ18,BQ20,BQ22,BQ24,BQ26,BQ28,BQ30)</f>
        <v>14</v>
      </c>
      <c r="BR2" s="1">
        <f>IFERROR(SUM(BQ4,BQ6,BQ8,BQ10,BQ12,BQ14,BQ16,BQ18,BQ20,BQ22,BQ24,BQ26,BQ28,BQ30)/SUM(BP4,BP6,BP8,BP10,BP12,BP14,BP16,BP18,BP20,BP22,BP24,BP26,BP28,BP30)*100,0)</f>
        <v>49.620253164556956</v>
      </c>
      <c r="BS2" s="1">
        <f>AVERAGE(BS4,BS6,BS8,BS10,BS12,BS14,BS16,BS18,BS20,BS22,BS24,BS26,BS28,BS30)</f>
        <v>2.1428571428571428</v>
      </c>
      <c r="BT2" s="1">
        <f>AVERAGE(BT4,BT6,BT8,BT10,BT12,BT14,BT16,BT18,BT20,BT22,BT24,BT26,BT28,BT30)</f>
        <v>1.2142857142857142</v>
      </c>
      <c r="BU2" s="1">
        <f>IFERROR(SUM(BT4,BT6,BT8,BT10,BT12,BT14,BT16,BT18,BT20,BT22,BT24,BT26,BT28,BT30)/SUM(BS4,BS6,BS8,BS10,BS12,BS14,BS16,BS18,BS20,BS22,BS24,BS26,BS28,BS30)*100,0)</f>
        <v>56.666666666666664</v>
      </c>
      <c r="BV2" s="1">
        <f t="shared" ref="BV2:CB3" si="4">AVERAGE(BV4,BV6,BV8,BV10,BV12,BV14,BV16,BV18,BV20,BV22,BV24,BV26,BV28,BV30)</f>
        <v>48.214285714285715</v>
      </c>
      <c r="BW2" s="1">
        <f t="shared" si="4"/>
        <v>14.357142857142858</v>
      </c>
      <c r="BX2" s="1">
        <f t="shared" si="4"/>
        <v>10</v>
      </c>
      <c r="BY2" s="1">
        <f t="shared" si="4"/>
        <v>1.3571428571428572</v>
      </c>
      <c r="BZ2" s="1">
        <f t="shared" si="4"/>
        <v>0</v>
      </c>
      <c r="CA2" s="1">
        <f t="shared" si="4"/>
        <v>153.42857142857142</v>
      </c>
      <c r="CB2" s="1">
        <f t="shared" si="4"/>
        <v>97.642857142857139</v>
      </c>
      <c r="CC2" s="1">
        <f>IFERROR(SUM(CB4,CB6,CB8,CB10,CB12,CB14,CB16,CB18,CB20,CB22,CB24,CB26,CB28,CB30)/SUM(CA4,CA6,CA8,CA10,CA12,CA14,CA16,CA18,CA20,CA22,CA24,CA26,CA28,CA30)*100,0)</f>
        <v>63.640595903165732</v>
      </c>
      <c r="CD2" s="1">
        <f>AVERAGE(CD4,CD6,CD8,CD10,CD12,CD14,CD16,CD18,CD20,CD22,CD24,CD26,CD28,CD30)</f>
        <v>54.642857142857146</v>
      </c>
      <c r="CE2" s="1">
        <f>AVERAGE(CE4,CE6,CE8,CE10,CE12,CE14,CE16,CE18,CE20,CE22,CE24,CE26,CE28,CE30)</f>
        <v>49.285714285714285</v>
      </c>
      <c r="CF2" s="1">
        <f>IFERROR(SUM(CE4,CE6,CE8,CE10,CE12,CE14,CE16,CE18,CE20,CE22,CE24,CE26,CE28,CE30)/SUM(CD4,CD6,CD8,CD10,CD12,CD14,CD16,CD18,CD20,CD22,CD24,CD26,CD28,CD30)*100,0)</f>
        <v>90.196078431372555</v>
      </c>
      <c r="CG2" s="1">
        <f>AVERAGE(CG4,CG6,CG8,CG10,CG12,CG14,CG16,CG18,CG20,CG22,CG24,CG26,CG28,CG30)</f>
        <v>124.85714285714286</v>
      </c>
      <c r="CH2" s="1">
        <f>AVERAGE(CH4,CH6,CH8,CH10,CH12,CH14,CH16,CH18,CH20,CH22,CH24,CH26,CH28,CH30)</f>
        <v>104.21428571428571</v>
      </c>
      <c r="CI2" s="1">
        <f>IFERROR(SUM(CH4,CH6,CH8,CH10,CH12,CH14,CH16,CH18,CH20,CH22,CH24,CH26,CH28,CH30)/SUM(CG4,CG6,CG8,CG10,CG12,CG14,CG16,CG18,CG20,CG22,CG24,CG26,CG28,CG30)*100,0)</f>
        <v>83.466819221967953</v>
      </c>
      <c r="CJ2" s="1">
        <f>AVERAGE(CJ4,CJ6,CJ8,CJ10,CJ12,CJ14,CJ16,CJ18,CJ20,CJ22,CJ24,CJ26,CJ28,CJ30)</f>
        <v>44.857142857142854</v>
      </c>
      <c r="CK2" s="1">
        <f>AVERAGE(CK4,CK6,CK8,CK10,CK12,CK14,CK16,CK18,CK20,CK22,CK24,CK26,CK28,CK30)</f>
        <v>20.428571428571427</v>
      </c>
      <c r="CL2" s="1">
        <f>IFERROR(SUM(CK4,CK6,CK8,CK10,CK12,CK14,CK16,CK18,CK20,CK22,CK24,CK26,CK28,CK30)/SUM(CJ4,CJ6,CJ8,CJ10,CJ12,CJ14,CJ16,CJ18,CJ20,CJ22,CJ24,CJ26,CJ28,CJ30)*100,0)</f>
        <v>45.541401273885349</v>
      </c>
      <c r="CM2" s="1">
        <f>AVERAGE(CM4,CM6,CM8,CM10,CM12,CM14,CM16,CM18,CM20,CM22,CM24,CM26,CM28,CM30)</f>
        <v>42.285714285714285</v>
      </c>
      <c r="CN2" s="1">
        <f>AVERAGE(CN4,CN6,CN8,CN10,CN12,CN14,CN16,CN18,CN20,CN22,CN24,CN26,CN28,CN30)</f>
        <v>22.785714285714285</v>
      </c>
      <c r="CO2" s="1">
        <f>IFERROR(SUM(CN4,CN6,CN8,CN10,CN12,CN14,CN16,CN18,CN20,CN22,CN24,CN26,CN28,CN30)/SUM(CM4,CM6,CM8,CM10,CM12,CM14,CM16,CM18,CM20,CM22,CM24,CM26,CM28,CM30)*100,0)</f>
        <v>53.88513513513513</v>
      </c>
      <c r="CP2" s="1">
        <f>AVERAGE(CP4,CP6,CP8,CP10,CP12,CP14,CP16,CP18,CP20,CP22,CP24,CP26,CP28,CP30)</f>
        <v>75.071428571428569</v>
      </c>
      <c r="CQ2" s="1">
        <f>AVERAGE(CQ4,CQ6,CQ8,CQ10,CQ12,CQ14,CQ16,CQ18,CQ20,CQ22,CQ24,CQ26,CQ28,CQ30)</f>
        <v>40.571428571428569</v>
      </c>
      <c r="CR2" s="1">
        <f>IFERROR(SUM(CQ4,CQ6,CQ8,CQ10,CQ12,CQ14,CQ16,CQ18,CQ20,CQ22,CQ24,CQ26,CQ28,CQ30)/SUM(CP4,CP6,CP8,CP10,CP12,CP14,CP16,CP18,CP20,CP22,CP24,CP26,CP28,CP30)*100,0)</f>
        <v>54.043767840152235</v>
      </c>
      <c r="CS2" s="1">
        <f>AVERAGE(CS4,CS6,CS8,CS10,CS12,CS14,CS16,CS18,CS20,CS22,CS24,CS26,CS28,CS30)</f>
        <v>0.2857142857142857</v>
      </c>
      <c r="CT2" s="1">
        <f>AVERAGE(CT4,CT6,CT8,CT10,CT12,CT14,CT16,CT18,CT20,CT22,CT24,CT26,CT28,CT30)</f>
        <v>0.21428571428571427</v>
      </c>
      <c r="CU2" s="1">
        <f>IFERROR(SUM(CT4,CT6,CT8,CT10,CT12,CT14,CT16,CT18,CT20,CT22,CT24,CT26,CT28,CT30)/SUM(CS4,CS6,CS8,CS10,CS12,CS14,CS16,CS18,CS20,CS22,CS24,CS26,CS28,CS30)*100,0)</f>
        <v>75</v>
      </c>
      <c r="CV2" s="1">
        <f>AVERAGE(CV4,CV6,CV8,CV10,CV12,CV14,CV16,CV18,CV20,CV22,CV24,CV26,CV28,CV30)</f>
        <v>28</v>
      </c>
      <c r="CW2" s="1">
        <f>AVERAGE(CW4,CW6,CW8,CW10,CW12,CW14,CW16,CW18,CW20,CW22,CW24,CW26,CW28,CW30)</f>
        <v>22.214285714285715</v>
      </c>
      <c r="CX2" s="1">
        <f>IFERROR(SUM(CW4,CW6,CW8,CW10,CW12,CW14,CW16,CW18,CW20,CW22,CW24,CW26,CW28,CW30)/SUM(CV4,CV6,CV8,CV10,CV12,CV14,CV16,CV18,CV20,CV22,CV24,CV26,CV28,CV30)*100,0)</f>
        <v>79.33673469387756</v>
      </c>
      <c r="CY2" s="1">
        <f t="shared" ref="CY2:DE3" si="5">AVERAGE(CY4,CY6,CY8,CY10,CY12,CY14,CY16,CY18,CY20,CY22,CY24,CY26,CY28,CY30)</f>
        <v>10.142857142857142</v>
      </c>
      <c r="CZ2" s="1">
        <f t="shared" si="5"/>
        <v>16.449285714285715</v>
      </c>
      <c r="DA2" s="1">
        <f t="shared" si="5"/>
        <v>3.2207142857142856</v>
      </c>
      <c r="DB2" s="1">
        <f t="shared" si="5"/>
        <v>11.947857142857144</v>
      </c>
      <c r="DC2" s="1">
        <f t="shared" si="5"/>
        <v>18.154285714285713</v>
      </c>
      <c r="DD2" s="1">
        <f t="shared" si="5"/>
        <v>18.527142857142856</v>
      </c>
      <c r="DE2" s="1">
        <f t="shared" si="5"/>
        <v>11.579285714285716</v>
      </c>
    </row>
    <row r="3" spans="1:109" x14ac:dyDescent="0.2">
      <c r="A3" s="1" t="s">
        <v>55</v>
      </c>
      <c r="B3" s="1"/>
      <c r="C3" s="1"/>
      <c r="D3" s="1"/>
      <c r="E3" s="1"/>
      <c r="F3" s="1"/>
      <c r="G3" s="1">
        <f t="shared" si="0"/>
        <v>2</v>
      </c>
      <c r="H3" s="1">
        <f t="shared" si="0"/>
        <v>1.7564285714285712</v>
      </c>
      <c r="I3" s="1">
        <f t="shared" si="0"/>
        <v>12.642857142857142</v>
      </c>
      <c r="J3" s="1">
        <f t="shared" si="0"/>
        <v>4.7142857142857144</v>
      </c>
      <c r="K3" s="1">
        <f>IFERROR(SUM(J5,J7,J9,J11,J13,J15,J17,J19,J21,J23,J25,J27,J29,J31)/SUM(I5,I7,I9,I11,I13,I15,I17,I19,I21,I23,I25,I27,I29,I31)*100,0)</f>
        <v>37.288135593220339</v>
      </c>
      <c r="L3" s="1">
        <f>AVERAGE(L5,L7,L9,L11,L13,L15,L17,L19,L21,L23,L25,L27,L29,L31)</f>
        <v>442.64285714285717</v>
      </c>
      <c r="M3" s="1">
        <f>AVERAGE(M5,M7,M9,M11,M13,M15,M17,M19,M21,M23,M25,M27,M29,M31)</f>
        <v>343.21428571428572</v>
      </c>
      <c r="N3" s="1">
        <f>IFERROR(SUM(M5,M7,M9,M11,M13,M15,M17,M19,M21,M23,M25,M27,M29,M31)/SUM(L5,L7,L9,L11,L13,L15,L17,L19,L21,L23,L25,L27,L29,L31)*100,0)</f>
        <v>77.537518153945456</v>
      </c>
      <c r="O3" s="1">
        <f t="shared" ref="O3:Y3" si="6">AVERAGE(O5,O7,O9,O11,O13,O15,O17,O19,O21,O23,O25,O27,O29,O31)</f>
        <v>51.190714285714286</v>
      </c>
      <c r="P3" s="1">
        <f t="shared" si="6"/>
        <v>136.07142857142858</v>
      </c>
      <c r="Q3" s="1">
        <f t="shared" si="6"/>
        <v>22.857142857142858</v>
      </c>
      <c r="R3" s="1">
        <f t="shared" si="6"/>
        <v>49.071428571428569</v>
      </c>
      <c r="S3" s="1">
        <f t="shared" si="6"/>
        <v>64.142857142857139</v>
      </c>
      <c r="T3" s="1">
        <f t="shared" si="6"/>
        <v>94.571428571428569</v>
      </c>
      <c r="U3" s="1">
        <f t="shared" si="6"/>
        <v>35.214285714285715</v>
      </c>
      <c r="V3" s="1">
        <f t="shared" si="6"/>
        <v>42.428571428571431</v>
      </c>
      <c r="W3" s="1">
        <f t="shared" si="6"/>
        <v>16.928571428571427</v>
      </c>
      <c r="X3" s="1">
        <f t="shared" si="6"/>
        <v>215.71428571428572</v>
      </c>
      <c r="Y3" s="1">
        <f t="shared" si="6"/>
        <v>105.71428571428571</v>
      </c>
      <c r="Z3" s="1">
        <f>IFERROR(SUM(Y5,Y7,Y9,Y11,Y13,Y15,Y17,Y19,Y21,Y23,Y25,Y27,Y29,Y31)/SUM(X5,X7,X9,X11,X13,X15,X17,X19,X21,X23,X25,X27,X29,X31)*100,0)</f>
        <v>49.006622516556291</v>
      </c>
      <c r="AA3" s="1">
        <f>AVERAGE(AA5,AA7,AA9,AA11,AA13,AA15,AA17,AA19,AA21,AA23,AA25,AA27,AA29,AA31)</f>
        <v>5.1428571428571432</v>
      </c>
      <c r="AB3" s="1">
        <f>AVERAGE(AB5,AB7,AB9,AB11,AB13,AB15,AB17,AB19,AB21,AB23,AB25,AB27,AB29,AB31)</f>
        <v>0.9285714285714286</v>
      </c>
      <c r="AC3" s="1">
        <f>IFERROR(SUM(AB5,AB7,AB9,AB11,AB13,AB15,AB17,AB19,AB21,AB23,AB25,AB27,AB29,AB31)/SUM(AA5,AA7,AA9,AA11,AA13,AA15,AA17,AA19,AA21,AA23,AA25,AA27,AA29,AA31)*100,0)</f>
        <v>18.055555555555554</v>
      </c>
      <c r="AD3" s="1">
        <f>AVERAGE(AD5,AD7,AD9,AD11,AD13,AD15,AD17,AD19,AD21,AD23,AD25,AD27,AD29,AD31)</f>
        <v>35.857142857142854</v>
      </c>
      <c r="AE3" s="1">
        <f>AVERAGE(AE5,AE7,AE9,AE11,AE13,AE15,AE17,AE19,AE21,AE23,AE25,AE27,AE29,AE31)</f>
        <v>8.6428571428571423</v>
      </c>
      <c r="AF3" s="1">
        <f>IFERROR(SUM(AE5,AE7,AE9,AE11,AE13,AE15,AE17,AE19,AE21,AE23,AE25,AE27,AE29,AE31)/SUM(AD5,AD7,AD9,AD11,AD13,AD15,AD17,AD19,AD21,AD23,AD25,AD27,AD29,AD31)*100,0)</f>
        <v>24.10358565737052</v>
      </c>
      <c r="AG3" s="1">
        <f>AVERAGE(AG5,AG7,AG9,AG11,AG13,AG15,AG17,AG19,AG21,AG23,AG25,AG27,AG29,AG31)</f>
        <v>0.21428571428571427</v>
      </c>
      <c r="AH3" s="1">
        <f>AVERAGE(AH5,AH7,AH9,AH11,AH13,AH15,AH17,AH19,AH21,AH23,AH25,AH27,AH29,AH31)</f>
        <v>0.14285714285714285</v>
      </c>
      <c r="AI3" s="1">
        <f>IFERROR(SUM(AH5,AH7,AH9,AH11,AH13,AH15,AH17,AH19,AH21,AH23,AH25,AH27,AH29,AH31)/SUM(AG5,AG7,AG9,AG11,AG13,AG15,AG17,AG19,AG21,AG23,AG25,AG27,AG29,AG31)*100,0)</f>
        <v>66.666666666666657</v>
      </c>
      <c r="AJ3" s="1">
        <f>AVERAGE(AJ5,AJ7,AJ9,AJ11,AJ13,AJ15,AJ17,AJ19,AJ21,AJ23,AJ25,AJ27,AJ29,AJ31)</f>
        <v>24.642857142857142</v>
      </c>
      <c r="AK3" s="1">
        <f>AVERAGE(AK5,AK7,AK9,AK11,AK13,AK15,AK17,AK19,AK21,AK23,AK25,AK27,AK29,AK31)</f>
        <v>3.2142857142857144</v>
      </c>
      <c r="AL3" s="1">
        <f>IFERROR(SUM(AK5,AK7,AK9,AK11,AK13,AK15,AK17,AK19,AK21,AK23,AK25,AK27,AK29,AK31)/SUM(AJ5,AJ7,AJ9,AJ11,AJ13,AJ15,AJ17,AJ19,AJ21,AJ23,AJ25,AJ27,AJ29,AJ31)*100,0)</f>
        <v>13.043478260869565</v>
      </c>
      <c r="AM3" s="1">
        <f>AVERAGE(AM5,AM7,AM9,AM11,AM13,AM15,AM17,AM19,AM21,AM23,AM25,AM27,AM29,AM31)</f>
        <v>5.6428571428571432</v>
      </c>
      <c r="AN3" s="1">
        <f>AVERAGE(AN5,AN7,AN9,AN11,AN13,AN15,AN17,AN19,AN21,AN23,AN25,AN27,AN29,AN31)</f>
        <v>2.0714285714285716</v>
      </c>
      <c r="AO3" s="1">
        <f>IFERROR(SUM(AN5,AN7,AN9,AN11,AN13,AN15,AN17,AN19,AN21,AN23,AN25,AN27,AN29,AN31)/SUM(AM5,AM7,AM9,AM11,AM13,AM15,AM17,AM19,AM21,AM23,AM25,AM27,AM29,AM31)*100,0)</f>
        <v>36.708860759493675</v>
      </c>
      <c r="AP3" s="1">
        <f>AVERAGE(AP5,AP7,AP9,AP11,AP13,AP15,AP17,AP19,AP21,AP23,AP25,AP27,AP29,AP31)</f>
        <v>2.7857142857142856</v>
      </c>
      <c r="AQ3" s="1">
        <f>AVERAGE(AQ5,AQ7,AQ9,AQ11,AQ13,AQ15,AQ17,AQ19,AQ21,AQ23,AQ25,AQ27,AQ29,AQ31)</f>
        <v>0.5714285714285714</v>
      </c>
      <c r="AR3" s="1">
        <f>IFERROR(SUM(AQ5,AQ7,AQ9,AQ11,AQ13,AQ15,AQ17,AQ19,AQ21,AQ23,AQ25,AQ27,AQ29,AQ31)/SUM(AP5,AP7,AP9,AP11,AP13,AP15,AP17,AP19,AP21,AP23,AP25,AP27,AP29,AP31)*100,0)</f>
        <v>20.512820512820511</v>
      </c>
      <c r="AS3" s="1">
        <f>AVERAGE(AS5,AS7,AS9,AS11,AS13,AS15,AS17,AS19,AS21,AS23,AS25,AS27,AS29,AS31)</f>
        <v>0.14285714285714285</v>
      </c>
      <c r="AT3" s="1">
        <f>AVERAGE(AT5,AT7,AT9,AT11,AT13,AT15,AT17,AT19,AT21,AT23,AT25,AT27,AT29,AT31)</f>
        <v>7.1428571428571425E-2</v>
      </c>
      <c r="AU3" s="1">
        <f>IFERROR(SUM(AT5,AT7,AT9,AT11,AT13,AT15,AT17,AT19,AT21,AT23,AT25,AT27,AT29,AT31)/SUM(AS5,AS7,AS9,AS11,AS13,AS15,AS17,AS19,AS21,AS23,AS25,AS27,AS29,AS31)*100,0)</f>
        <v>50</v>
      </c>
      <c r="AV3" s="1">
        <f>AVERAGE(AV5,AV7,AV9,AV11,AV13,AV15,AV17,AV19,AV21,AV23,AV25,AV27,AV29,AV31)</f>
        <v>16.214285714285715</v>
      </c>
      <c r="AW3" s="1">
        <f>AVERAGE(AW5,AW7,AW9,AW11,AW13,AW15,AW17,AW19,AW21,AW23,AW25,AW27,AW29,AW31)</f>
        <v>5.8571428571428568</v>
      </c>
      <c r="AX3" s="1">
        <f>IFERROR(SUM(AW5,AW7,AW9,AW11,AW13,AW15,AW17,AW19,AW21,AW23,AW25,AW27,AW29,AW31)/SUM(AV5,AV7,AV9,AV11,AV13,AV15,AV17,AV19,AV21,AV23,AV25,AV27,AV29,AV31)*100,0)</f>
        <v>36.12334801762114</v>
      </c>
      <c r="AY3" s="1">
        <f t="shared" si="2"/>
        <v>5.7142857142857144</v>
      </c>
      <c r="AZ3" s="1">
        <f t="shared" si="2"/>
        <v>8.3571428571428577</v>
      </c>
      <c r="BA3" s="1">
        <f t="shared" si="2"/>
        <v>25.642857142857142</v>
      </c>
      <c r="BB3" s="1">
        <f t="shared" si="2"/>
        <v>4.2142857142857144</v>
      </c>
      <c r="BC3" s="1">
        <f t="shared" si="2"/>
        <v>9.6428571428571423</v>
      </c>
      <c r="BD3" s="1">
        <f t="shared" si="2"/>
        <v>22.214285714285715</v>
      </c>
      <c r="BE3" s="1">
        <f t="shared" si="2"/>
        <v>80.214285714285708</v>
      </c>
      <c r="BF3" s="1">
        <f t="shared" si="2"/>
        <v>26.785714285714285</v>
      </c>
      <c r="BG3" s="1">
        <f>IFERROR(SUM(BF5,BF7,BF9,BF11,BF13,BF15,BF17,BF19,BF21,BF23,BF25,BF27,BF29,BF31)/SUM(BE5,BE7,BE9,BE11,BE13,BE15,BE17,BE19,BE21,BE23,BE25,BE27,BE29,BE31)*100,0)</f>
        <v>33.392698130008903</v>
      </c>
      <c r="BH3" s="1">
        <f t="shared" si="3"/>
        <v>1</v>
      </c>
      <c r="BI3" s="1">
        <f t="shared" si="3"/>
        <v>1.3571428571428572</v>
      </c>
      <c r="BJ3" s="1">
        <f t="shared" si="3"/>
        <v>12.785714285714286</v>
      </c>
      <c r="BK3" s="1">
        <f t="shared" si="3"/>
        <v>5.2142857142857144</v>
      </c>
      <c r="BL3" s="1">
        <f>IFERROR(SUM(BK5,BK7,BK9,BK11,BK13,BK15,BK17,BK19,BK21,BK23,BK25,BK27,BK29,BK31)/SUM(BJ5,BJ7,BJ9,BJ11,BJ13,BJ15,BJ17,BJ19,BJ21,BJ23,BJ25,BJ27,BJ29,BJ31)*100,0)</f>
        <v>40.782122905027933</v>
      </c>
      <c r="BM3" s="1">
        <f>AVERAGE(BM5,BM7,BM9,BM11,BM13,BM15,BM17,BM19,BM21,BM23,BM25,BM27,BM29,BM31)</f>
        <v>81.714285714285708</v>
      </c>
      <c r="BN3" s="1">
        <f>AVERAGE(BN5,BN7,BN9,BN11,BN13,BN15,BN17,BN19,BN21,BN23,BN25,BN27,BN29,BN31)</f>
        <v>56.071428571428569</v>
      </c>
      <c r="BO3" s="1">
        <f>IFERROR(SUM(BN5,BN7,BN9,BN11,BN13,BN15,BN17,BN19,BN21,BN23,BN25,BN27,BN29,BN31)/SUM(BM5,BM7,BM9,BM11,BM13,BM15,BM17,BM19,BM21,BM23,BM25,BM27,BM29,BM31)*100,0)</f>
        <v>68.61888111888112</v>
      </c>
      <c r="BP3" s="1">
        <f>AVERAGE(BP5,BP7,BP9,BP11,BP13,BP15,BP17,BP19,BP21,BP23,BP25,BP27,BP29,BP31)</f>
        <v>28.214285714285715</v>
      </c>
      <c r="BQ3" s="1">
        <f>AVERAGE(BQ5,BQ7,BQ9,BQ11,BQ13,BQ15,BQ17,BQ19,BQ21,BQ23,BQ25,BQ27,BQ29,BQ31)</f>
        <v>11.428571428571429</v>
      </c>
      <c r="BR3" s="1">
        <f>IFERROR(SUM(BQ5,BQ7,BQ9,BQ11,BQ13,BQ15,BQ17,BQ19,BQ21,BQ23,BQ25,BQ27,BQ29,BQ31)/SUM(BP5,BP7,BP9,BP11,BP13,BP15,BP17,BP19,BP21,BP23,BP25,BP27,BP29,BP31)*100,0)</f>
        <v>40.506329113924053</v>
      </c>
      <c r="BS3" s="1">
        <f>AVERAGE(BS5,BS7,BS9,BS11,BS13,BS15,BS17,BS19,BS21,BS23,BS25,BS27,BS29,BS31)</f>
        <v>3.0714285714285716</v>
      </c>
      <c r="BT3" s="1">
        <f>AVERAGE(BT5,BT7,BT9,BT11,BT13,BT15,BT17,BT19,BT21,BT23,BT25,BT27,BT29,BT31)</f>
        <v>2.3571428571428572</v>
      </c>
      <c r="BU3" s="1">
        <f>IFERROR(SUM(BT5,BT7,BT9,BT11,BT13,BT15,BT17,BT19,BT21,BT23,BT25,BT27,BT29,BT31)/SUM(BS5,BS7,BS9,BS11,BS13,BS15,BS17,BS19,BS21,BS23,BS25,BS27,BS29,BS31)*100,0)</f>
        <v>76.744186046511629</v>
      </c>
      <c r="BV3" s="1">
        <f t="shared" si="4"/>
        <v>50.214285714285715</v>
      </c>
      <c r="BW3" s="1">
        <f t="shared" si="4"/>
        <v>14.571428571428571</v>
      </c>
      <c r="BX3" s="1">
        <f t="shared" si="4"/>
        <v>10.071428571428571</v>
      </c>
      <c r="BY3" s="1">
        <f t="shared" si="4"/>
        <v>1.1428571428571428</v>
      </c>
      <c r="BZ3" s="1">
        <f t="shared" si="4"/>
        <v>0</v>
      </c>
      <c r="CA3" s="1">
        <f t="shared" si="4"/>
        <v>162.5</v>
      </c>
      <c r="CB3" s="1">
        <f t="shared" si="4"/>
        <v>107.28571428571429</v>
      </c>
      <c r="CC3" s="1">
        <f>IFERROR(SUM(CB5,CB7,CB9,CB11,CB13,CB15,CB17,CB19,CB21,CB23,CB25,CB27,CB29,CB31)/SUM(CA5,CA7,CA9,CA11,CA13,CA15,CA17,CA19,CA21,CA23,CA25,CA27,CA29,CA31)*100,0)</f>
        <v>66.021978021978029</v>
      </c>
      <c r="CD3" s="1">
        <f>AVERAGE(CD5,CD7,CD9,CD11,CD13,CD15,CD17,CD19,CD21,CD23,CD25,CD27,CD29,CD31)</f>
        <v>62.571428571428569</v>
      </c>
      <c r="CE3" s="1">
        <f>AVERAGE(CE5,CE7,CE9,CE11,CE13,CE15,CE17,CE19,CE21,CE23,CE25,CE27,CE29,CE31)</f>
        <v>57.357142857142854</v>
      </c>
      <c r="CF3" s="1">
        <f>IFERROR(SUM(CE5,CE7,CE9,CE11,CE13,CE15,CE17,CE19,CE21,CE23,CE25,CE27,CE29,CE31)/SUM(CD5,CD7,CD9,CD11,CD13,CD15,CD17,CD19,CD21,CD23,CD25,CD27,CD29,CD31)*100,0)</f>
        <v>91.666666666666657</v>
      </c>
      <c r="CG3" s="1">
        <f>AVERAGE(CG5,CG7,CG9,CG11,CG13,CG15,CG17,CG19,CG21,CG23,CG25,CG27,CG29,CG31)</f>
        <v>148.28571428571428</v>
      </c>
      <c r="CH3" s="1">
        <f>AVERAGE(CH5,CH7,CH9,CH11,CH13,CH15,CH17,CH19,CH21,CH23,CH25,CH27,CH29,CH31)</f>
        <v>128.64285714285714</v>
      </c>
      <c r="CI3" s="1">
        <f>IFERROR(SUM(CH5,CH7,CH9,CH11,CH13,CH15,CH17,CH19,CH21,CH23,CH25,CH27,CH29,CH31)/SUM(CG5,CG7,CG9,CG11,CG13,CG15,CG17,CG19,CG21,CG23,CG25,CG27,CG29,CG31)*100,0)</f>
        <v>86.753371868978803</v>
      </c>
      <c r="CJ3" s="1">
        <f>AVERAGE(CJ5,CJ7,CJ9,CJ11,CJ13,CJ15,CJ17,CJ19,CJ21,CJ23,CJ25,CJ27,CJ29,CJ31)</f>
        <v>45.214285714285715</v>
      </c>
      <c r="CK3" s="1">
        <f>AVERAGE(CK5,CK7,CK9,CK11,CK13,CK15,CK17,CK19,CK21,CK23,CK25,CK27,CK29,CK31)</f>
        <v>20.785714285714285</v>
      </c>
      <c r="CL3" s="1">
        <f>IFERROR(SUM(CK5,CK7,CK9,CK11,CK13,CK15,CK17,CK19,CK21,CK23,CK25,CK27,CK29,CK31)/SUM(CJ5,CJ7,CJ9,CJ11,CJ13,CJ15,CJ17,CJ19,CJ21,CJ23,CJ25,CJ27,CJ29,CJ31)*100,0)</f>
        <v>45.97156398104265</v>
      </c>
      <c r="CM3" s="1">
        <f>AVERAGE(CM5,CM7,CM9,CM11,CM13,CM15,CM17,CM19,CM21,CM23,CM25,CM27,CM29,CM31)</f>
        <v>60.928571428571431</v>
      </c>
      <c r="CN3" s="1">
        <f>AVERAGE(CN5,CN7,CN9,CN11,CN13,CN15,CN17,CN19,CN21,CN23,CN25,CN27,CN29,CN31)</f>
        <v>38.928571428571431</v>
      </c>
      <c r="CO3" s="1">
        <f>IFERROR(SUM(CN5,CN7,CN9,CN11,CN13,CN15,CN17,CN19,CN21,CN23,CN25,CN27,CN29,CN31)/SUM(CM5,CM7,CM9,CM11,CM13,CM15,CM17,CM19,CM21,CM23,CM25,CM27,CM29,CM31)*100,0)</f>
        <v>63.892145369284883</v>
      </c>
      <c r="CP3" s="1">
        <f>AVERAGE(CP5,CP7,CP9,CP11,CP13,CP15,CP17,CP19,CP21,CP23,CP25,CP27,CP29,CP31)</f>
        <v>82.785714285714292</v>
      </c>
      <c r="CQ3" s="1">
        <f>AVERAGE(CQ5,CQ7,CQ9,CQ11,CQ13,CQ15,CQ17,CQ19,CQ21,CQ23,CQ25,CQ27,CQ29,CQ31)</f>
        <v>54.142857142857146</v>
      </c>
      <c r="CR3" s="1">
        <f>IFERROR(SUM(CQ5,CQ7,CQ9,CQ11,CQ13,CQ15,CQ17,CQ19,CQ21,CQ23,CQ25,CQ27,CQ29,CQ31)/SUM(CP5,CP7,CP9,CP11,CP13,CP15,CP17,CP19,CP21,CP23,CP25,CP27,CP29,CP31)*100,0)</f>
        <v>65.401207937877487</v>
      </c>
      <c r="CS3" s="1">
        <f>AVERAGE(CS5,CS7,CS9,CS11,CS13,CS15,CS17,CS19,CS21,CS23,CS25,CS27,CS29,CS31)</f>
        <v>1</v>
      </c>
      <c r="CT3" s="1">
        <f>AVERAGE(CT5,CT7,CT9,CT11,CT13,CT15,CT17,CT19,CT21,CT23,CT25,CT27,CT29,CT31)</f>
        <v>0.7142857142857143</v>
      </c>
      <c r="CU3" s="1">
        <f>IFERROR(SUM(CT5,CT7,CT9,CT11,CT13,CT15,CT17,CT19,CT21,CT23,CT25,CT27,CT29,CT31)/SUM(CS5,CS7,CS9,CS11,CS13,CS15,CS17,CS19,CS21,CS23,CS25,CS27,CS29,CS31)*100,0)</f>
        <v>71.428571428571431</v>
      </c>
      <c r="CV3" s="1">
        <f>AVERAGE(CV5,CV7,CV9,CV11,CV13,CV15,CV17,CV19,CV21,CV23,CV25,CV27,CV29,CV31)</f>
        <v>26.285714285714285</v>
      </c>
      <c r="CW3" s="1">
        <f>AVERAGE(CW5,CW7,CW9,CW11,CW13,CW15,CW17,CW19,CW21,CW23,CW25,CW27,CW29,CW31)</f>
        <v>21.142857142857142</v>
      </c>
      <c r="CX3" s="1">
        <f>IFERROR(SUM(CW5,CW7,CW9,CW11,CW13,CW15,CW17,CW19,CW21,CW23,CW25,CW27,CW29,CW31)/SUM(CV5,CV7,CV9,CV11,CV13,CV15,CV17,CV19,CV21,CV23,CV25,CV27,CV29,CV31)*100,0)</f>
        <v>80.434782608695656</v>
      </c>
      <c r="CY3" s="1">
        <f t="shared" si="5"/>
        <v>7.9285714285714288</v>
      </c>
      <c r="CZ3" s="1">
        <f t="shared" si="5"/>
        <v>16.967857142857145</v>
      </c>
      <c r="DA3" s="1">
        <f t="shared" si="5"/>
        <v>3.7257142857142855</v>
      </c>
      <c r="DB3" s="1">
        <f t="shared" si="5"/>
        <v>11.855714285714285</v>
      </c>
      <c r="DC3" s="1">
        <f t="shared" si="5"/>
        <v>18.451428571428568</v>
      </c>
      <c r="DD3" s="1">
        <f t="shared" si="5"/>
        <v>18.701428571428572</v>
      </c>
      <c r="DE3" s="1">
        <f t="shared" si="5"/>
        <v>7.6942857142857148</v>
      </c>
    </row>
    <row r="4" spans="1:109" ht="12" customHeight="1" x14ac:dyDescent="0.2">
      <c r="A4" s="2" t="s">
        <v>56</v>
      </c>
      <c r="B4" s="2" t="s">
        <v>57</v>
      </c>
      <c r="C4" s="2" t="s">
        <v>58</v>
      </c>
      <c r="D4" s="2">
        <v>101</v>
      </c>
      <c r="E4" t="s">
        <v>54</v>
      </c>
      <c r="F4" t="s">
        <v>59</v>
      </c>
      <c r="G4">
        <v>2</v>
      </c>
      <c r="H4">
        <v>2.42</v>
      </c>
      <c r="I4">
        <v>11</v>
      </c>
      <c r="J4">
        <v>6</v>
      </c>
      <c r="K4">
        <v>54.55</v>
      </c>
      <c r="L4">
        <v>414</v>
      </c>
      <c r="M4">
        <v>298</v>
      </c>
      <c r="N4">
        <v>71.98</v>
      </c>
      <c r="O4">
        <v>63.03</v>
      </c>
      <c r="P4">
        <v>167</v>
      </c>
      <c r="Q4">
        <v>40</v>
      </c>
      <c r="R4">
        <v>75</v>
      </c>
      <c r="S4">
        <v>52</v>
      </c>
      <c r="T4">
        <v>94</v>
      </c>
      <c r="U4">
        <v>49</v>
      </c>
      <c r="V4">
        <v>38</v>
      </c>
      <c r="W4">
        <v>7</v>
      </c>
      <c r="X4">
        <v>216</v>
      </c>
      <c r="Y4">
        <v>94</v>
      </c>
      <c r="Z4">
        <v>43.52</v>
      </c>
      <c r="AA4">
        <v>3</v>
      </c>
      <c r="AB4">
        <v>2</v>
      </c>
      <c r="AC4">
        <v>66.67</v>
      </c>
      <c r="AD4">
        <v>28</v>
      </c>
      <c r="AE4">
        <v>6</v>
      </c>
      <c r="AF4">
        <v>21.43</v>
      </c>
      <c r="AG4">
        <v>0</v>
      </c>
      <c r="AH4">
        <v>0</v>
      </c>
      <c r="AI4">
        <v>0</v>
      </c>
      <c r="AJ4">
        <v>35</v>
      </c>
      <c r="AK4">
        <v>4</v>
      </c>
      <c r="AL4">
        <v>11.43</v>
      </c>
      <c r="AM4">
        <v>9</v>
      </c>
      <c r="AN4">
        <v>2</v>
      </c>
      <c r="AO4">
        <v>22.22</v>
      </c>
      <c r="AP4">
        <v>1</v>
      </c>
      <c r="AQ4">
        <v>1</v>
      </c>
      <c r="AR4">
        <v>100</v>
      </c>
      <c r="AS4">
        <v>1</v>
      </c>
      <c r="AT4">
        <v>1</v>
      </c>
      <c r="AU4">
        <v>100</v>
      </c>
      <c r="AV4">
        <v>17</v>
      </c>
      <c r="AW4">
        <v>5</v>
      </c>
      <c r="AX4">
        <v>29.41</v>
      </c>
      <c r="AY4">
        <v>5</v>
      </c>
      <c r="AZ4">
        <v>4</v>
      </c>
      <c r="BA4">
        <v>15</v>
      </c>
      <c r="BB4">
        <v>0</v>
      </c>
      <c r="BC4">
        <v>10</v>
      </c>
      <c r="BD4">
        <v>16</v>
      </c>
      <c r="BE4">
        <v>103</v>
      </c>
      <c r="BF4">
        <v>40</v>
      </c>
      <c r="BG4">
        <v>38.83</v>
      </c>
      <c r="BH4">
        <v>2</v>
      </c>
      <c r="BI4">
        <v>1</v>
      </c>
      <c r="BJ4">
        <v>8</v>
      </c>
      <c r="BK4">
        <v>1</v>
      </c>
      <c r="BL4">
        <v>12.5</v>
      </c>
      <c r="BM4">
        <v>58</v>
      </c>
      <c r="BN4">
        <v>38</v>
      </c>
      <c r="BO4">
        <v>65.52</v>
      </c>
      <c r="BP4">
        <v>31</v>
      </c>
      <c r="BQ4">
        <v>10</v>
      </c>
      <c r="BR4">
        <v>32.26</v>
      </c>
      <c r="BS4">
        <v>2</v>
      </c>
      <c r="BT4">
        <v>0</v>
      </c>
      <c r="BU4">
        <v>0</v>
      </c>
      <c r="BV4">
        <v>48</v>
      </c>
      <c r="BW4">
        <v>13</v>
      </c>
      <c r="BX4">
        <v>13</v>
      </c>
      <c r="BY4">
        <v>1</v>
      </c>
      <c r="BZ4">
        <v>0</v>
      </c>
      <c r="CA4">
        <v>162</v>
      </c>
      <c r="CB4">
        <v>93</v>
      </c>
      <c r="CC4">
        <v>57.41</v>
      </c>
      <c r="CD4">
        <v>53</v>
      </c>
      <c r="CE4">
        <v>48</v>
      </c>
      <c r="CF4">
        <v>90.57</v>
      </c>
      <c r="CG4">
        <v>138</v>
      </c>
      <c r="CH4">
        <v>116</v>
      </c>
      <c r="CI4">
        <v>84.06</v>
      </c>
      <c r="CJ4">
        <v>48</v>
      </c>
      <c r="CK4">
        <v>15</v>
      </c>
      <c r="CL4">
        <v>31.25</v>
      </c>
      <c r="CM4">
        <v>46</v>
      </c>
      <c r="CN4">
        <v>20</v>
      </c>
      <c r="CO4">
        <v>43.48</v>
      </c>
      <c r="CP4">
        <v>82</v>
      </c>
      <c r="CQ4">
        <v>38</v>
      </c>
      <c r="CR4">
        <v>46.34</v>
      </c>
      <c r="CS4">
        <v>0</v>
      </c>
      <c r="CT4">
        <v>0</v>
      </c>
      <c r="CU4">
        <v>0</v>
      </c>
      <c r="CV4">
        <v>43</v>
      </c>
      <c r="CW4">
        <v>39</v>
      </c>
      <c r="CX4">
        <v>90.7</v>
      </c>
      <c r="CY4">
        <v>14</v>
      </c>
      <c r="CZ4">
        <v>16.91</v>
      </c>
      <c r="DA4">
        <v>3.21</v>
      </c>
      <c r="DB4">
        <v>11.59</v>
      </c>
      <c r="DC4">
        <v>14.87</v>
      </c>
      <c r="DD4">
        <v>17.86</v>
      </c>
      <c r="DE4">
        <v>5.77</v>
      </c>
    </row>
    <row r="5" spans="1:109" ht="12" customHeight="1" x14ac:dyDescent="0.2">
      <c r="A5" s="2" t="s">
        <v>56</v>
      </c>
      <c r="B5" s="2" t="s">
        <v>57</v>
      </c>
      <c r="C5" s="2" t="s">
        <v>58</v>
      </c>
      <c r="D5" s="2">
        <v>101</v>
      </c>
      <c r="E5" t="s">
        <v>60</v>
      </c>
      <c r="F5" t="s">
        <v>59</v>
      </c>
      <c r="G5">
        <v>1</v>
      </c>
      <c r="H5">
        <v>0.25</v>
      </c>
      <c r="I5">
        <v>8</v>
      </c>
      <c r="J5">
        <v>1</v>
      </c>
      <c r="K5">
        <v>12.5</v>
      </c>
      <c r="L5">
        <v>256</v>
      </c>
      <c r="M5">
        <v>153</v>
      </c>
      <c r="N5">
        <v>59.77</v>
      </c>
      <c r="O5">
        <v>36.97</v>
      </c>
      <c r="P5">
        <v>123</v>
      </c>
      <c r="Q5">
        <v>15</v>
      </c>
      <c r="R5">
        <v>46</v>
      </c>
      <c r="S5">
        <v>62</v>
      </c>
      <c r="T5">
        <v>94</v>
      </c>
      <c r="U5">
        <v>30</v>
      </c>
      <c r="V5">
        <v>46</v>
      </c>
      <c r="W5">
        <v>18</v>
      </c>
      <c r="X5">
        <v>216</v>
      </c>
      <c r="Y5">
        <v>114</v>
      </c>
      <c r="Z5">
        <v>52.78</v>
      </c>
      <c r="AA5">
        <v>7</v>
      </c>
      <c r="AB5">
        <v>1</v>
      </c>
      <c r="AC5">
        <v>14.29</v>
      </c>
      <c r="AD5">
        <v>27</v>
      </c>
      <c r="AE5">
        <v>8</v>
      </c>
      <c r="AF5">
        <v>29.63</v>
      </c>
      <c r="AG5">
        <v>0</v>
      </c>
      <c r="AH5">
        <v>0</v>
      </c>
      <c r="AI5">
        <v>0</v>
      </c>
      <c r="AJ5">
        <v>22</v>
      </c>
      <c r="AK5">
        <v>0</v>
      </c>
      <c r="AL5">
        <v>0</v>
      </c>
      <c r="AM5">
        <v>2</v>
      </c>
      <c r="AN5">
        <v>0</v>
      </c>
      <c r="AO5">
        <v>0</v>
      </c>
      <c r="AP5">
        <v>4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1</v>
      </c>
      <c r="AX5">
        <v>12.5</v>
      </c>
      <c r="AY5">
        <v>2</v>
      </c>
      <c r="AZ5">
        <v>2</v>
      </c>
      <c r="BA5">
        <v>8</v>
      </c>
      <c r="BB5">
        <v>0</v>
      </c>
      <c r="BC5">
        <v>4</v>
      </c>
      <c r="BD5">
        <v>7</v>
      </c>
      <c r="BE5">
        <v>58</v>
      </c>
      <c r="BF5">
        <v>20</v>
      </c>
      <c r="BG5">
        <v>34.479999999999997</v>
      </c>
      <c r="BH5">
        <v>0</v>
      </c>
      <c r="BI5">
        <v>2</v>
      </c>
      <c r="BJ5">
        <v>11</v>
      </c>
      <c r="BK5">
        <v>6</v>
      </c>
      <c r="BL5">
        <v>54.55</v>
      </c>
      <c r="BM5">
        <v>103</v>
      </c>
      <c r="BN5">
        <v>63</v>
      </c>
      <c r="BO5">
        <v>61.17</v>
      </c>
      <c r="BP5">
        <v>31</v>
      </c>
      <c r="BQ5">
        <v>17</v>
      </c>
      <c r="BR5">
        <v>54.84</v>
      </c>
      <c r="BS5">
        <v>7</v>
      </c>
      <c r="BT5">
        <v>5</v>
      </c>
      <c r="BU5">
        <v>71.430000000000007</v>
      </c>
      <c r="BV5">
        <v>50</v>
      </c>
      <c r="BW5">
        <v>15</v>
      </c>
      <c r="BX5">
        <v>12</v>
      </c>
      <c r="BY5">
        <v>1</v>
      </c>
      <c r="BZ5">
        <v>0</v>
      </c>
      <c r="CA5">
        <v>118</v>
      </c>
      <c r="CB5">
        <v>57</v>
      </c>
      <c r="CC5">
        <v>48.31</v>
      </c>
      <c r="CD5">
        <v>37</v>
      </c>
      <c r="CE5">
        <v>31</v>
      </c>
      <c r="CF5">
        <v>83.78</v>
      </c>
      <c r="CG5">
        <v>54</v>
      </c>
      <c r="CH5">
        <v>42</v>
      </c>
      <c r="CI5">
        <v>77.78</v>
      </c>
      <c r="CJ5">
        <v>62</v>
      </c>
      <c r="CK5">
        <v>29</v>
      </c>
      <c r="CL5">
        <v>46.77</v>
      </c>
      <c r="CM5">
        <v>45</v>
      </c>
      <c r="CN5">
        <v>20</v>
      </c>
      <c r="CO5">
        <v>44.44</v>
      </c>
      <c r="CP5">
        <v>58</v>
      </c>
      <c r="CQ5">
        <v>37</v>
      </c>
      <c r="CR5">
        <v>63.79</v>
      </c>
      <c r="CS5">
        <v>0</v>
      </c>
      <c r="CT5">
        <v>0</v>
      </c>
      <c r="CU5">
        <v>0</v>
      </c>
      <c r="CV5">
        <v>32</v>
      </c>
      <c r="CW5">
        <v>24</v>
      </c>
      <c r="CX5">
        <v>75</v>
      </c>
      <c r="CY5">
        <v>5</v>
      </c>
      <c r="CZ5">
        <v>17.829999999999998</v>
      </c>
      <c r="DA5">
        <v>2.35</v>
      </c>
      <c r="DB5">
        <v>24.22</v>
      </c>
      <c r="DC5">
        <v>25.83</v>
      </c>
      <c r="DD5">
        <v>20.05</v>
      </c>
      <c r="DE5">
        <v>7.33</v>
      </c>
    </row>
    <row r="6" spans="1:109" ht="12" customHeight="1" x14ac:dyDescent="0.2">
      <c r="A6" s="2" t="s">
        <v>61</v>
      </c>
      <c r="B6" s="2" t="s">
        <v>62</v>
      </c>
      <c r="C6" s="2" t="s">
        <v>58</v>
      </c>
      <c r="D6" s="2">
        <v>98</v>
      </c>
      <c r="E6" t="s">
        <v>54</v>
      </c>
      <c r="F6" t="s">
        <v>59</v>
      </c>
      <c r="G6">
        <v>2</v>
      </c>
      <c r="H6">
        <v>3.49</v>
      </c>
      <c r="I6">
        <v>7</v>
      </c>
      <c r="J6">
        <v>3</v>
      </c>
      <c r="K6">
        <v>42.86</v>
      </c>
      <c r="L6">
        <v>362</v>
      </c>
      <c r="M6">
        <v>260</v>
      </c>
      <c r="N6">
        <v>71.819999999999993</v>
      </c>
      <c r="O6">
        <v>48.07</v>
      </c>
      <c r="P6">
        <v>151</v>
      </c>
      <c r="Q6">
        <v>30</v>
      </c>
      <c r="R6">
        <v>60</v>
      </c>
      <c r="S6">
        <v>61</v>
      </c>
      <c r="T6">
        <v>90</v>
      </c>
      <c r="U6">
        <v>38</v>
      </c>
      <c r="V6">
        <v>41</v>
      </c>
      <c r="W6">
        <v>11</v>
      </c>
      <c r="X6">
        <v>176</v>
      </c>
      <c r="Y6">
        <v>84</v>
      </c>
      <c r="Z6">
        <v>47.73</v>
      </c>
      <c r="AA6">
        <v>1</v>
      </c>
      <c r="AB6">
        <v>0</v>
      </c>
      <c r="AC6">
        <v>0</v>
      </c>
      <c r="AD6">
        <v>16</v>
      </c>
      <c r="AE6">
        <v>3</v>
      </c>
      <c r="AF6">
        <v>18.75</v>
      </c>
      <c r="AG6">
        <v>0</v>
      </c>
      <c r="AH6">
        <v>0</v>
      </c>
      <c r="AI6">
        <v>0</v>
      </c>
      <c r="AJ6">
        <v>28</v>
      </c>
      <c r="AK6">
        <v>1</v>
      </c>
      <c r="AL6">
        <v>3.57</v>
      </c>
      <c r="AM6">
        <v>4</v>
      </c>
      <c r="AN6">
        <v>0</v>
      </c>
      <c r="AO6">
        <v>0</v>
      </c>
      <c r="AP6">
        <v>3</v>
      </c>
      <c r="AQ6">
        <v>2</v>
      </c>
      <c r="AR6">
        <v>66.67</v>
      </c>
      <c r="AS6">
        <v>2</v>
      </c>
      <c r="AT6">
        <v>0</v>
      </c>
      <c r="AU6">
        <v>0</v>
      </c>
      <c r="AV6">
        <v>13</v>
      </c>
      <c r="AW6">
        <v>3</v>
      </c>
      <c r="AX6">
        <v>23.08</v>
      </c>
      <c r="AY6">
        <v>3</v>
      </c>
      <c r="AZ6">
        <v>5</v>
      </c>
      <c r="BA6">
        <v>16</v>
      </c>
      <c r="BB6">
        <v>0</v>
      </c>
      <c r="BC6">
        <v>8</v>
      </c>
      <c r="BD6">
        <v>14</v>
      </c>
      <c r="BE6">
        <v>61</v>
      </c>
      <c r="BF6">
        <v>17</v>
      </c>
      <c r="BG6">
        <v>27.87</v>
      </c>
      <c r="BH6">
        <v>0</v>
      </c>
      <c r="BI6">
        <v>2</v>
      </c>
      <c r="BJ6">
        <v>10</v>
      </c>
      <c r="BK6">
        <v>6</v>
      </c>
      <c r="BL6">
        <v>60</v>
      </c>
      <c r="BM6">
        <v>74</v>
      </c>
      <c r="BN6">
        <v>47</v>
      </c>
      <c r="BO6">
        <v>63.51</v>
      </c>
      <c r="BP6">
        <v>20</v>
      </c>
      <c r="BQ6">
        <v>11</v>
      </c>
      <c r="BR6">
        <v>55</v>
      </c>
      <c r="BS6">
        <v>4</v>
      </c>
      <c r="BT6">
        <v>1</v>
      </c>
      <c r="BU6">
        <v>25</v>
      </c>
      <c r="BV6">
        <v>41</v>
      </c>
      <c r="BW6">
        <v>24</v>
      </c>
      <c r="BX6">
        <v>9</v>
      </c>
      <c r="BY6">
        <v>2</v>
      </c>
      <c r="BZ6">
        <v>0</v>
      </c>
      <c r="CA6">
        <v>154</v>
      </c>
      <c r="CB6">
        <v>96</v>
      </c>
      <c r="CC6">
        <v>62.34</v>
      </c>
      <c r="CD6">
        <v>46</v>
      </c>
      <c r="CE6">
        <v>43</v>
      </c>
      <c r="CF6">
        <v>93.48</v>
      </c>
      <c r="CG6">
        <v>105</v>
      </c>
      <c r="CH6">
        <v>79</v>
      </c>
      <c r="CI6">
        <v>75.239999999999995</v>
      </c>
      <c r="CJ6">
        <v>39</v>
      </c>
      <c r="CK6">
        <v>10</v>
      </c>
      <c r="CL6">
        <v>25.64</v>
      </c>
      <c r="CM6">
        <v>39</v>
      </c>
      <c r="CN6">
        <v>18</v>
      </c>
      <c r="CO6">
        <v>46.15</v>
      </c>
      <c r="CP6">
        <v>70</v>
      </c>
      <c r="CQ6">
        <v>35</v>
      </c>
      <c r="CR6">
        <v>50</v>
      </c>
      <c r="CS6">
        <v>0</v>
      </c>
      <c r="CT6">
        <v>0</v>
      </c>
      <c r="CU6">
        <v>0</v>
      </c>
      <c r="CV6">
        <v>17</v>
      </c>
      <c r="CW6">
        <v>12</v>
      </c>
      <c r="CX6">
        <v>70.59</v>
      </c>
      <c r="CY6">
        <v>10</v>
      </c>
      <c r="CZ6">
        <v>16.91</v>
      </c>
      <c r="DA6">
        <v>2.94</v>
      </c>
      <c r="DB6">
        <v>10.77</v>
      </c>
      <c r="DC6">
        <v>11.14</v>
      </c>
      <c r="DD6">
        <v>17.78</v>
      </c>
      <c r="DE6">
        <v>8.9700000000000006</v>
      </c>
    </row>
    <row r="7" spans="1:109" ht="12" customHeight="1" x14ac:dyDescent="0.2">
      <c r="A7" s="2" t="s">
        <v>61</v>
      </c>
      <c r="B7" s="2" t="s">
        <v>62</v>
      </c>
      <c r="C7" s="2" t="s">
        <v>58</v>
      </c>
      <c r="D7" s="2">
        <v>98</v>
      </c>
      <c r="E7" t="s">
        <v>63</v>
      </c>
      <c r="F7" t="s">
        <v>64</v>
      </c>
      <c r="G7">
        <v>2</v>
      </c>
      <c r="H7">
        <v>1.91</v>
      </c>
      <c r="I7">
        <v>10</v>
      </c>
      <c r="J7">
        <v>6</v>
      </c>
      <c r="K7">
        <v>60</v>
      </c>
      <c r="L7">
        <v>392</v>
      </c>
      <c r="M7">
        <v>300</v>
      </c>
      <c r="N7">
        <v>76.53</v>
      </c>
      <c r="O7">
        <v>51.93</v>
      </c>
      <c r="P7">
        <v>145</v>
      </c>
      <c r="Q7">
        <v>18</v>
      </c>
      <c r="R7">
        <v>64</v>
      </c>
      <c r="S7">
        <v>63</v>
      </c>
      <c r="T7">
        <v>99</v>
      </c>
      <c r="U7">
        <v>33</v>
      </c>
      <c r="V7">
        <v>52</v>
      </c>
      <c r="W7">
        <v>14</v>
      </c>
      <c r="X7">
        <v>176</v>
      </c>
      <c r="Y7">
        <v>88</v>
      </c>
      <c r="Z7">
        <v>50</v>
      </c>
      <c r="AA7">
        <v>4</v>
      </c>
      <c r="AB7">
        <v>1</v>
      </c>
      <c r="AC7">
        <v>25</v>
      </c>
      <c r="AD7">
        <v>39</v>
      </c>
      <c r="AE7">
        <v>8</v>
      </c>
      <c r="AF7">
        <v>20.51</v>
      </c>
      <c r="AG7">
        <v>1</v>
      </c>
      <c r="AH7">
        <v>1</v>
      </c>
      <c r="AI7">
        <v>100</v>
      </c>
      <c r="AJ7">
        <v>17</v>
      </c>
      <c r="AK7">
        <v>1</v>
      </c>
      <c r="AL7">
        <v>5.88</v>
      </c>
      <c r="AM7">
        <v>6</v>
      </c>
      <c r="AN7">
        <v>0</v>
      </c>
      <c r="AO7">
        <v>0</v>
      </c>
      <c r="AP7">
        <v>4</v>
      </c>
      <c r="AQ7">
        <v>0</v>
      </c>
      <c r="AR7">
        <v>0</v>
      </c>
      <c r="AS7">
        <v>0</v>
      </c>
      <c r="AT7">
        <v>0</v>
      </c>
      <c r="AU7">
        <v>0</v>
      </c>
      <c r="AV7">
        <v>7</v>
      </c>
      <c r="AW7">
        <v>2</v>
      </c>
      <c r="AX7">
        <v>28.57</v>
      </c>
      <c r="AY7">
        <v>2</v>
      </c>
      <c r="AZ7">
        <v>15</v>
      </c>
      <c r="BA7">
        <v>31</v>
      </c>
      <c r="BB7">
        <v>12</v>
      </c>
      <c r="BC7">
        <v>6</v>
      </c>
      <c r="BD7">
        <v>32</v>
      </c>
      <c r="BE7">
        <v>74</v>
      </c>
      <c r="BF7">
        <v>27</v>
      </c>
      <c r="BG7">
        <v>36.49</v>
      </c>
      <c r="BH7">
        <v>1</v>
      </c>
      <c r="BI7">
        <v>2</v>
      </c>
      <c r="BJ7">
        <v>7</v>
      </c>
      <c r="BK7">
        <v>3</v>
      </c>
      <c r="BL7">
        <v>42.86</v>
      </c>
      <c r="BM7">
        <v>61</v>
      </c>
      <c r="BN7">
        <v>44</v>
      </c>
      <c r="BO7">
        <v>72.13</v>
      </c>
      <c r="BP7">
        <v>20</v>
      </c>
      <c r="BQ7">
        <v>6</v>
      </c>
      <c r="BR7">
        <v>30</v>
      </c>
      <c r="BS7">
        <v>1</v>
      </c>
      <c r="BT7">
        <v>1</v>
      </c>
      <c r="BU7">
        <v>100</v>
      </c>
      <c r="BV7">
        <v>47</v>
      </c>
      <c r="BW7">
        <v>21</v>
      </c>
      <c r="BX7">
        <v>13</v>
      </c>
      <c r="BY7">
        <v>3</v>
      </c>
      <c r="BZ7">
        <v>0</v>
      </c>
      <c r="CA7">
        <v>150</v>
      </c>
      <c r="CB7">
        <v>95</v>
      </c>
      <c r="CC7">
        <v>63.33</v>
      </c>
      <c r="CD7">
        <v>68</v>
      </c>
      <c r="CE7">
        <v>59</v>
      </c>
      <c r="CF7">
        <v>86.76</v>
      </c>
      <c r="CG7">
        <v>115</v>
      </c>
      <c r="CH7">
        <v>106</v>
      </c>
      <c r="CI7">
        <v>92.17</v>
      </c>
      <c r="CJ7">
        <v>60</v>
      </c>
      <c r="CK7">
        <v>25</v>
      </c>
      <c r="CL7">
        <v>41.67</v>
      </c>
      <c r="CM7">
        <v>60</v>
      </c>
      <c r="CN7">
        <v>36</v>
      </c>
      <c r="CO7">
        <v>60</v>
      </c>
      <c r="CP7">
        <v>92</v>
      </c>
      <c r="CQ7">
        <v>60</v>
      </c>
      <c r="CR7">
        <v>65.22</v>
      </c>
      <c r="CS7">
        <v>2</v>
      </c>
      <c r="CT7">
        <v>2</v>
      </c>
      <c r="CU7">
        <v>100</v>
      </c>
      <c r="CV7">
        <v>38</v>
      </c>
      <c r="CW7">
        <v>24</v>
      </c>
      <c r="CX7">
        <v>63.16</v>
      </c>
      <c r="CY7">
        <v>3</v>
      </c>
      <c r="CZ7">
        <v>16.95</v>
      </c>
      <c r="DA7">
        <v>3.29</v>
      </c>
      <c r="DB7">
        <v>15.31</v>
      </c>
      <c r="DC7">
        <v>18.02</v>
      </c>
      <c r="DD7">
        <v>18.88</v>
      </c>
      <c r="DE7">
        <v>7.14</v>
      </c>
    </row>
    <row r="8" spans="1:109" ht="12" customHeight="1" x14ac:dyDescent="0.2">
      <c r="A8" s="2" t="s">
        <v>65</v>
      </c>
      <c r="B8" s="2" t="s">
        <v>66</v>
      </c>
      <c r="C8" s="2" t="s">
        <v>58</v>
      </c>
      <c r="D8" s="2">
        <v>95</v>
      </c>
      <c r="E8" t="s">
        <v>54</v>
      </c>
      <c r="F8" t="s">
        <v>59</v>
      </c>
      <c r="G8">
        <v>0</v>
      </c>
      <c r="H8">
        <v>2.0499999999999998</v>
      </c>
      <c r="I8">
        <v>21</v>
      </c>
      <c r="J8">
        <v>8</v>
      </c>
      <c r="K8">
        <v>38.1</v>
      </c>
      <c r="L8">
        <v>510</v>
      </c>
      <c r="M8">
        <v>419</v>
      </c>
      <c r="N8">
        <v>82.16</v>
      </c>
      <c r="O8">
        <v>53.62</v>
      </c>
      <c r="P8">
        <v>116</v>
      </c>
      <c r="Q8">
        <v>21</v>
      </c>
      <c r="R8">
        <v>36</v>
      </c>
      <c r="S8">
        <v>59</v>
      </c>
      <c r="T8">
        <v>95</v>
      </c>
      <c r="U8">
        <v>39</v>
      </c>
      <c r="V8">
        <v>36</v>
      </c>
      <c r="W8">
        <v>20</v>
      </c>
      <c r="X8">
        <v>202</v>
      </c>
      <c r="Y8">
        <v>111</v>
      </c>
      <c r="Z8">
        <v>54.95</v>
      </c>
      <c r="AA8">
        <v>9</v>
      </c>
      <c r="AB8">
        <v>4</v>
      </c>
      <c r="AC8">
        <v>44.44</v>
      </c>
      <c r="AD8">
        <v>44</v>
      </c>
      <c r="AE8">
        <v>15</v>
      </c>
      <c r="AF8">
        <v>34.090000000000003</v>
      </c>
      <c r="AG8">
        <v>1</v>
      </c>
      <c r="AH8">
        <v>0</v>
      </c>
      <c r="AI8">
        <v>0</v>
      </c>
      <c r="AJ8">
        <v>28</v>
      </c>
      <c r="AK8">
        <v>5</v>
      </c>
      <c r="AL8">
        <v>17.86</v>
      </c>
      <c r="AM8">
        <v>8</v>
      </c>
      <c r="AN8">
        <v>4</v>
      </c>
      <c r="AO8">
        <v>50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20</v>
      </c>
      <c r="AW8">
        <v>8</v>
      </c>
      <c r="AX8">
        <v>40</v>
      </c>
      <c r="AY8">
        <v>8</v>
      </c>
      <c r="AZ8">
        <v>11</v>
      </c>
      <c r="BA8">
        <v>34</v>
      </c>
      <c r="BB8">
        <v>6</v>
      </c>
      <c r="BC8">
        <v>13</v>
      </c>
      <c r="BD8">
        <v>29</v>
      </c>
      <c r="BE8">
        <v>65</v>
      </c>
      <c r="BF8">
        <v>28</v>
      </c>
      <c r="BG8">
        <v>43.08</v>
      </c>
      <c r="BH8">
        <v>5</v>
      </c>
      <c r="BI8">
        <v>3</v>
      </c>
      <c r="BJ8">
        <v>14</v>
      </c>
      <c r="BK8">
        <v>8</v>
      </c>
      <c r="BL8">
        <v>57.14</v>
      </c>
      <c r="BM8">
        <v>92</v>
      </c>
      <c r="BN8">
        <v>63</v>
      </c>
      <c r="BO8">
        <v>68.48</v>
      </c>
      <c r="BP8">
        <v>25</v>
      </c>
      <c r="BQ8">
        <v>12</v>
      </c>
      <c r="BR8">
        <v>48</v>
      </c>
      <c r="BS8">
        <v>2</v>
      </c>
      <c r="BT8">
        <v>1</v>
      </c>
      <c r="BU8">
        <v>50</v>
      </c>
      <c r="BV8">
        <v>48</v>
      </c>
      <c r="BW8">
        <v>8</v>
      </c>
      <c r="BX8">
        <v>11</v>
      </c>
      <c r="BY8">
        <v>0</v>
      </c>
      <c r="BZ8">
        <v>0</v>
      </c>
      <c r="CA8">
        <v>167</v>
      </c>
      <c r="CB8">
        <v>122</v>
      </c>
      <c r="CC8">
        <v>73.05</v>
      </c>
      <c r="CD8">
        <v>74</v>
      </c>
      <c r="CE8">
        <v>67</v>
      </c>
      <c r="CF8">
        <v>90.54</v>
      </c>
      <c r="CG8">
        <v>181</v>
      </c>
      <c r="CH8">
        <v>161</v>
      </c>
      <c r="CI8">
        <v>88.95</v>
      </c>
      <c r="CJ8">
        <v>40</v>
      </c>
      <c r="CK8">
        <v>24</v>
      </c>
      <c r="CL8">
        <v>60</v>
      </c>
      <c r="CM8">
        <v>47</v>
      </c>
      <c r="CN8">
        <v>33</v>
      </c>
      <c r="CO8">
        <v>70.209999999999994</v>
      </c>
      <c r="CP8">
        <v>87</v>
      </c>
      <c r="CQ8">
        <v>54</v>
      </c>
      <c r="CR8">
        <v>62.07</v>
      </c>
      <c r="CS8">
        <v>0</v>
      </c>
      <c r="CT8">
        <v>0</v>
      </c>
      <c r="CU8">
        <v>0</v>
      </c>
      <c r="CV8">
        <v>20</v>
      </c>
      <c r="CW8">
        <v>17</v>
      </c>
      <c r="CX8">
        <v>85</v>
      </c>
      <c r="CY8">
        <v>11</v>
      </c>
      <c r="CZ8">
        <v>16.809999999999999</v>
      </c>
      <c r="DA8">
        <v>4.1500000000000004</v>
      </c>
      <c r="DB8">
        <v>7.84</v>
      </c>
      <c r="DC8">
        <v>18.53</v>
      </c>
      <c r="DD8">
        <v>17.84</v>
      </c>
      <c r="DE8">
        <v>7.95</v>
      </c>
    </row>
    <row r="9" spans="1:109" ht="12" customHeight="1" x14ac:dyDescent="0.2">
      <c r="A9" s="2" t="s">
        <v>65</v>
      </c>
      <c r="B9" s="2" t="s">
        <v>66</v>
      </c>
      <c r="C9" s="2" t="s">
        <v>58</v>
      </c>
      <c r="D9" s="2">
        <v>95</v>
      </c>
      <c r="E9" t="s">
        <v>67</v>
      </c>
      <c r="F9" t="s">
        <v>68</v>
      </c>
      <c r="G9">
        <v>3</v>
      </c>
      <c r="H9">
        <v>2.4500000000000002</v>
      </c>
      <c r="I9">
        <v>14</v>
      </c>
      <c r="J9">
        <v>8</v>
      </c>
      <c r="K9">
        <v>57.14</v>
      </c>
      <c r="L9">
        <v>422</v>
      </c>
      <c r="M9">
        <v>336</v>
      </c>
      <c r="N9">
        <v>79.62</v>
      </c>
      <c r="O9">
        <v>46.38</v>
      </c>
      <c r="P9">
        <v>117</v>
      </c>
      <c r="Q9">
        <v>30</v>
      </c>
      <c r="R9">
        <v>45</v>
      </c>
      <c r="S9">
        <v>42</v>
      </c>
      <c r="T9">
        <v>83</v>
      </c>
      <c r="U9">
        <v>39</v>
      </c>
      <c r="V9">
        <v>32</v>
      </c>
      <c r="W9">
        <v>12</v>
      </c>
      <c r="X9">
        <v>202</v>
      </c>
      <c r="Y9">
        <v>85</v>
      </c>
      <c r="Z9">
        <v>42.08</v>
      </c>
      <c r="AA9">
        <v>6</v>
      </c>
      <c r="AB9">
        <v>2</v>
      </c>
      <c r="AC9">
        <v>33.33</v>
      </c>
      <c r="AD9">
        <v>23</v>
      </c>
      <c r="AE9">
        <v>11</v>
      </c>
      <c r="AF9">
        <v>47.83</v>
      </c>
      <c r="AG9">
        <v>0</v>
      </c>
      <c r="AH9">
        <v>0</v>
      </c>
      <c r="AI9">
        <v>0</v>
      </c>
      <c r="AJ9">
        <v>28</v>
      </c>
      <c r="AK9">
        <v>2</v>
      </c>
      <c r="AL9">
        <v>7.14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12</v>
      </c>
      <c r="AW9">
        <v>4</v>
      </c>
      <c r="AX9">
        <v>33.33</v>
      </c>
      <c r="AY9">
        <v>5</v>
      </c>
      <c r="AZ9">
        <v>6</v>
      </c>
      <c r="BA9">
        <v>21</v>
      </c>
      <c r="BB9">
        <v>5</v>
      </c>
      <c r="BC9">
        <v>9</v>
      </c>
      <c r="BD9">
        <v>20</v>
      </c>
      <c r="BE9">
        <v>92</v>
      </c>
      <c r="BF9">
        <v>29</v>
      </c>
      <c r="BG9">
        <v>31.52</v>
      </c>
      <c r="BH9">
        <v>1</v>
      </c>
      <c r="BI9">
        <v>0</v>
      </c>
      <c r="BJ9">
        <v>21</v>
      </c>
      <c r="BK9">
        <v>8</v>
      </c>
      <c r="BL9">
        <v>38.1</v>
      </c>
      <c r="BM9">
        <v>65</v>
      </c>
      <c r="BN9">
        <v>37</v>
      </c>
      <c r="BO9">
        <v>56.92</v>
      </c>
      <c r="BP9">
        <v>25</v>
      </c>
      <c r="BQ9">
        <v>10</v>
      </c>
      <c r="BR9">
        <v>40</v>
      </c>
      <c r="BS9">
        <v>3</v>
      </c>
      <c r="BT9">
        <v>3</v>
      </c>
      <c r="BU9">
        <v>100</v>
      </c>
      <c r="BV9">
        <v>44</v>
      </c>
      <c r="BW9">
        <v>17</v>
      </c>
      <c r="BX9">
        <v>8</v>
      </c>
      <c r="BY9">
        <v>0</v>
      </c>
      <c r="BZ9">
        <v>0</v>
      </c>
      <c r="CA9">
        <v>158</v>
      </c>
      <c r="CB9">
        <v>110</v>
      </c>
      <c r="CC9">
        <v>69.62</v>
      </c>
      <c r="CD9">
        <v>52</v>
      </c>
      <c r="CE9">
        <v>49</v>
      </c>
      <c r="CF9">
        <v>94.23</v>
      </c>
      <c r="CG9">
        <v>153</v>
      </c>
      <c r="CH9">
        <v>137</v>
      </c>
      <c r="CI9">
        <v>89.54</v>
      </c>
      <c r="CJ9">
        <v>36</v>
      </c>
      <c r="CK9">
        <v>16</v>
      </c>
      <c r="CL9">
        <v>44.44</v>
      </c>
      <c r="CM9">
        <v>43</v>
      </c>
      <c r="CN9">
        <v>28</v>
      </c>
      <c r="CO9">
        <v>65.12</v>
      </c>
      <c r="CP9">
        <v>68</v>
      </c>
      <c r="CQ9">
        <v>38</v>
      </c>
      <c r="CR9">
        <v>55.88</v>
      </c>
      <c r="CS9">
        <v>2</v>
      </c>
      <c r="CT9">
        <v>2</v>
      </c>
      <c r="CU9">
        <v>100</v>
      </c>
      <c r="CV9">
        <v>17</v>
      </c>
      <c r="CW9">
        <v>17</v>
      </c>
      <c r="CX9">
        <v>100</v>
      </c>
      <c r="CY9">
        <v>11</v>
      </c>
      <c r="CZ9">
        <v>16.079999999999998</v>
      </c>
      <c r="DA9">
        <v>3.67</v>
      </c>
      <c r="DB9">
        <v>8.5299999999999994</v>
      </c>
      <c r="DC9">
        <v>16.53</v>
      </c>
      <c r="DD9">
        <v>19.16</v>
      </c>
      <c r="DE9">
        <v>10.38</v>
      </c>
    </row>
    <row r="10" spans="1:109" ht="12" customHeight="1" x14ac:dyDescent="0.2">
      <c r="A10" s="2" t="s">
        <v>69</v>
      </c>
      <c r="B10" s="2" t="s">
        <v>70</v>
      </c>
      <c r="C10" s="2" t="s">
        <v>58</v>
      </c>
      <c r="D10" s="2">
        <v>97</v>
      </c>
      <c r="E10" t="s">
        <v>54</v>
      </c>
      <c r="F10" t="s">
        <v>59</v>
      </c>
      <c r="G10">
        <v>1</v>
      </c>
      <c r="H10">
        <v>3.03</v>
      </c>
      <c r="I10">
        <v>17</v>
      </c>
      <c r="J10">
        <v>9</v>
      </c>
      <c r="K10">
        <v>52.94</v>
      </c>
      <c r="L10">
        <v>433</v>
      </c>
      <c r="M10">
        <v>327</v>
      </c>
      <c r="N10">
        <v>75.52</v>
      </c>
      <c r="O10">
        <v>52.48</v>
      </c>
      <c r="P10">
        <v>145</v>
      </c>
      <c r="Q10">
        <v>23</v>
      </c>
      <c r="R10">
        <v>67</v>
      </c>
      <c r="S10">
        <v>55</v>
      </c>
      <c r="T10">
        <v>112</v>
      </c>
      <c r="U10">
        <v>49</v>
      </c>
      <c r="V10">
        <v>41</v>
      </c>
      <c r="W10">
        <v>22</v>
      </c>
      <c r="X10">
        <v>225</v>
      </c>
      <c r="Y10">
        <v>100</v>
      </c>
      <c r="Z10">
        <v>44.44</v>
      </c>
      <c r="AA10">
        <v>5</v>
      </c>
      <c r="AB10">
        <v>3</v>
      </c>
      <c r="AC10">
        <v>60</v>
      </c>
      <c r="AD10">
        <v>30</v>
      </c>
      <c r="AE10">
        <v>11</v>
      </c>
      <c r="AF10">
        <v>36.67</v>
      </c>
      <c r="AG10">
        <v>0</v>
      </c>
      <c r="AH10">
        <v>0</v>
      </c>
      <c r="AI10">
        <v>0</v>
      </c>
      <c r="AJ10">
        <v>25</v>
      </c>
      <c r="AK10">
        <v>5</v>
      </c>
      <c r="AL10">
        <v>20</v>
      </c>
      <c r="AM10">
        <v>7</v>
      </c>
      <c r="AN10">
        <v>1</v>
      </c>
      <c r="AO10">
        <v>14.29</v>
      </c>
      <c r="AP10">
        <v>4</v>
      </c>
      <c r="AQ10">
        <v>2</v>
      </c>
      <c r="AR10">
        <v>50</v>
      </c>
      <c r="AS10">
        <v>0</v>
      </c>
      <c r="AT10">
        <v>0</v>
      </c>
      <c r="AU10">
        <v>0</v>
      </c>
      <c r="AV10">
        <v>15</v>
      </c>
      <c r="AW10">
        <v>6</v>
      </c>
      <c r="AX10">
        <v>40</v>
      </c>
      <c r="AY10">
        <v>6</v>
      </c>
      <c r="AZ10">
        <v>6</v>
      </c>
      <c r="BA10">
        <v>34</v>
      </c>
      <c r="BB10">
        <v>9</v>
      </c>
      <c r="BC10">
        <v>12</v>
      </c>
      <c r="BD10">
        <v>27</v>
      </c>
      <c r="BE10">
        <v>77</v>
      </c>
      <c r="BF10">
        <v>22</v>
      </c>
      <c r="BG10">
        <v>28.57</v>
      </c>
      <c r="BH10">
        <v>6</v>
      </c>
      <c r="BI10">
        <v>1</v>
      </c>
      <c r="BJ10">
        <v>9</v>
      </c>
      <c r="BK10">
        <v>1</v>
      </c>
      <c r="BL10">
        <v>11.11</v>
      </c>
      <c r="BM10">
        <v>98</v>
      </c>
      <c r="BN10">
        <v>66</v>
      </c>
      <c r="BO10">
        <v>67.349999999999994</v>
      </c>
      <c r="BP10">
        <v>25</v>
      </c>
      <c r="BQ10">
        <v>6</v>
      </c>
      <c r="BR10">
        <v>24</v>
      </c>
      <c r="BS10">
        <v>6</v>
      </c>
      <c r="BT10">
        <v>4</v>
      </c>
      <c r="BU10">
        <v>66.67</v>
      </c>
      <c r="BV10">
        <v>70</v>
      </c>
      <c r="BW10">
        <v>8</v>
      </c>
      <c r="BX10">
        <v>14</v>
      </c>
      <c r="BY10">
        <v>3</v>
      </c>
      <c r="BZ10">
        <v>0</v>
      </c>
      <c r="CA10">
        <v>185</v>
      </c>
      <c r="CB10">
        <v>118</v>
      </c>
      <c r="CC10">
        <v>63.78</v>
      </c>
      <c r="CD10">
        <v>65</v>
      </c>
      <c r="CE10">
        <v>59</v>
      </c>
      <c r="CF10">
        <v>90.77</v>
      </c>
      <c r="CG10">
        <v>136</v>
      </c>
      <c r="CH10">
        <v>115</v>
      </c>
      <c r="CI10">
        <v>84.56</v>
      </c>
      <c r="CJ10">
        <v>49</v>
      </c>
      <c r="CK10">
        <v>23</v>
      </c>
      <c r="CL10">
        <v>46.94</v>
      </c>
      <c r="CM10">
        <v>40</v>
      </c>
      <c r="CN10">
        <v>25</v>
      </c>
      <c r="CO10">
        <v>62.5</v>
      </c>
      <c r="CP10">
        <v>83</v>
      </c>
      <c r="CQ10">
        <v>48</v>
      </c>
      <c r="CR10">
        <v>57.83</v>
      </c>
      <c r="CS10">
        <v>1</v>
      </c>
      <c r="CT10">
        <v>0</v>
      </c>
      <c r="CU10">
        <v>0</v>
      </c>
      <c r="CV10">
        <v>25</v>
      </c>
      <c r="CW10">
        <v>19</v>
      </c>
      <c r="CX10">
        <v>76</v>
      </c>
      <c r="CY10">
        <v>11</v>
      </c>
      <c r="CZ10">
        <v>17.12</v>
      </c>
      <c r="DA10">
        <v>3.38</v>
      </c>
      <c r="DB10">
        <v>11.32</v>
      </c>
      <c r="DC10">
        <v>15.82</v>
      </c>
      <c r="DD10">
        <v>18.62</v>
      </c>
      <c r="DE10">
        <v>5.82</v>
      </c>
    </row>
    <row r="11" spans="1:109" ht="12" customHeight="1" x14ac:dyDescent="0.2">
      <c r="A11" s="2" t="s">
        <v>69</v>
      </c>
      <c r="B11" s="2" t="s">
        <v>70</v>
      </c>
      <c r="C11" s="2" t="s">
        <v>58</v>
      </c>
      <c r="D11" s="2">
        <v>97</v>
      </c>
      <c r="E11" t="s">
        <v>71</v>
      </c>
      <c r="F11" t="s">
        <v>64</v>
      </c>
      <c r="G11">
        <v>1</v>
      </c>
      <c r="H11">
        <v>1.53</v>
      </c>
      <c r="I11">
        <v>9</v>
      </c>
      <c r="J11">
        <v>1</v>
      </c>
      <c r="K11">
        <v>11.11</v>
      </c>
      <c r="L11">
        <v>369</v>
      </c>
      <c r="M11">
        <v>254</v>
      </c>
      <c r="N11">
        <v>68.83</v>
      </c>
      <c r="O11">
        <v>47.52</v>
      </c>
      <c r="P11">
        <v>165</v>
      </c>
      <c r="Q11">
        <v>26</v>
      </c>
      <c r="R11">
        <v>58</v>
      </c>
      <c r="S11">
        <v>81</v>
      </c>
      <c r="T11">
        <v>111</v>
      </c>
      <c r="U11">
        <v>41</v>
      </c>
      <c r="V11">
        <v>50</v>
      </c>
      <c r="W11">
        <v>20</v>
      </c>
      <c r="X11">
        <v>225</v>
      </c>
      <c r="Y11">
        <v>116</v>
      </c>
      <c r="Z11">
        <v>51.56</v>
      </c>
      <c r="AA11">
        <v>4</v>
      </c>
      <c r="AB11">
        <v>0</v>
      </c>
      <c r="AC11">
        <v>0</v>
      </c>
      <c r="AD11">
        <v>33</v>
      </c>
      <c r="AE11">
        <v>4</v>
      </c>
      <c r="AF11">
        <v>12.12</v>
      </c>
      <c r="AG11">
        <v>0</v>
      </c>
      <c r="AH11">
        <v>0</v>
      </c>
      <c r="AI11">
        <v>0</v>
      </c>
      <c r="AJ11">
        <v>30</v>
      </c>
      <c r="AK11">
        <v>3</v>
      </c>
      <c r="AL11">
        <v>10</v>
      </c>
      <c r="AM11">
        <v>3</v>
      </c>
      <c r="AN11">
        <v>2</v>
      </c>
      <c r="AO11">
        <v>66.67</v>
      </c>
      <c r="AP11">
        <v>6</v>
      </c>
      <c r="AQ11">
        <v>1</v>
      </c>
      <c r="AR11">
        <v>16.670000000000002</v>
      </c>
      <c r="AS11">
        <v>1</v>
      </c>
      <c r="AT11">
        <v>1</v>
      </c>
      <c r="AU11">
        <v>100</v>
      </c>
      <c r="AV11">
        <v>7</v>
      </c>
      <c r="AW11">
        <v>1</v>
      </c>
      <c r="AX11">
        <v>14.29</v>
      </c>
      <c r="AY11">
        <v>2</v>
      </c>
      <c r="AZ11">
        <v>4</v>
      </c>
      <c r="BA11">
        <v>18</v>
      </c>
      <c r="BB11">
        <v>4</v>
      </c>
      <c r="BC11">
        <v>6</v>
      </c>
      <c r="BD11">
        <v>11</v>
      </c>
      <c r="BE11">
        <v>98</v>
      </c>
      <c r="BF11">
        <v>32</v>
      </c>
      <c r="BG11">
        <v>32.65</v>
      </c>
      <c r="BH11">
        <v>1</v>
      </c>
      <c r="BI11">
        <v>1</v>
      </c>
      <c r="BJ11">
        <v>17</v>
      </c>
      <c r="BK11">
        <v>9</v>
      </c>
      <c r="BL11">
        <v>52.94</v>
      </c>
      <c r="BM11">
        <v>77</v>
      </c>
      <c r="BN11">
        <v>55</v>
      </c>
      <c r="BO11">
        <v>71.430000000000007</v>
      </c>
      <c r="BP11">
        <v>25</v>
      </c>
      <c r="BQ11">
        <v>14</v>
      </c>
      <c r="BR11">
        <v>56</v>
      </c>
      <c r="BS11">
        <v>1</v>
      </c>
      <c r="BT11">
        <v>0</v>
      </c>
      <c r="BU11">
        <v>0</v>
      </c>
      <c r="BV11">
        <v>66</v>
      </c>
      <c r="BW11">
        <v>10</v>
      </c>
      <c r="BX11">
        <v>7</v>
      </c>
      <c r="BY11">
        <v>0</v>
      </c>
      <c r="BZ11">
        <v>0</v>
      </c>
      <c r="CA11">
        <v>153</v>
      </c>
      <c r="CB11">
        <v>89</v>
      </c>
      <c r="CC11">
        <v>58.17</v>
      </c>
      <c r="CD11">
        <v>43</v>
      </c>
      <c r="CE11">
        <v>38</v>
      </c>
      <c r="CF11">
        <v>88.37</v>
      </c>
      <c r="CG11">
        <v>110</v>
      </c>
      <c r="CH11">
        <v>89</v>
      </c>
      <c r="CI11">
        <v>80.91</v>
      </c>
      <c r="CJ11">
        <v>39</v>
      </c>
      <c r="CK11">
        <v>17</v>
      </c>
      <c r="CL11">
        <v>43.59</v>
      </c>
      <c r="CM11">
        <v>45</v>
      </c>
      <c r="CN11">
        <v>24</v>
      </c>
      <c r="CO11">
        <v>53.33</v>
      </c>
      <c r="CP11">
        <v>68</v>
      </c>
      <c r="CQ11">
        <v>35</v>
      </c>
      <c r="CR11">
        <v>51.47</v>
      </c>
      <c r="CS11">
        <v>0</v>
      </c>
      <c r="CT11">
        <v>0</v>
      </c>
      <c r="CU11">
        <v>0</v>
      </c>
      <c r="CV11">
        <v>22</v>
      </c>
      <c r="CW11">
        <v>15</v>
      </c>
      <c r="CX11">
        <v>68.180000000000007</v>
      </c>
      <c r="CY11">
        <v>8</v>
      </c>
      <c r="CZ11">
        <v>16.11</v>
      </c>
      <c r="DA11">
        <v>2.95</v>
      </c>
      <c r="DB11">
        <v>10.57</v>
      </c>
      <c r="DC11">
        <v>20.58</v>
      </c>
      <c r="DD11">
        <v>16.75</v>
      </c>
      <c r="DE11">
        <v>6.78</v>
      </c>
    </row>
    <row r="12" spans="1:109" ht="12" customHeight="1" x14ac:dyDescent="0.2">
      <c r="A12" s="2" t="s">
        <v>72</v>
      </c>
      <c r="B12" s="2" t="s">
        <v>73</v>
      </c>
      <c r="C12" s="2" t="s">
        <v>58</v>
      </c>
      <c r="D12" s="2">
        <v>95</v>
      </c>
      <c r="E12" t="s">
        <v>54</v>
      </c>
      <c r="F12" t="s">
        <v>74</v>
      </c>
      <c r="G12">
        <v>0</v>
      </c>
      <c r="H12">
        <v>0.18</v>
      </c>
      <c r="I12">
        <v>3</v>
      </c>
      <c r="J12">
        <v>2</v>
      </c>
      <c r="K12">
        <v>66.67</v>
      </c>
      <c r="L12">
        <v>268</v>
      </c>
      <c r="M12">
        <v>186</v>
      </c>
      <c r="N12">
        <v>69.400000000000006</v>
      </c>
      <c r="O12">
        <v>27.29</v>
      </c>
      <c r="P12">
        <v>110</v>
      </c>
      <c r="Q12">
        <v>43</v>
      </c>
      <c r="R12">
        <v>43</v>
      </c>
      <c r="S12">
        <v>24</v>
      </c>
      <c r="T12">
        <v>56</v>
      </c>
      <c r="U12">
        <v>40</v>
      </c>
      <c r="V12">
        <v>12</v>
      </c>
      <c r="W12">
        <v>4</v>
      </c>
      <c r="X12">
        <v>176</v>
      </c>
      <c r="Y12">
        <v>87</v>
      </c>
      <c r="Z12">
        <v>49.43</v>
      </c>
      <c r="AA12">
        <v>2</v>
      </c>
      <c r="AB12">
        <v>2</v>
      </c>
      <c r="AC12">
        <v>100</v>
      </c>
      <c r="AD12">
        <v>8</v>
      </c>
      <c r="AE12">
        <v>2</v>
      </c>
      <c r="AF12">
        <v>25</v>
      </c>
      <c r="AG12">
        <v>0</v>
      </c>
      <c r="AH12">
        <v>0</v>
      </c>
      <c r="AI12">
        <v>0</v>
      </c>
      <c r="AJ12">
        <v>25</v>
      </c>
      <c r="AK12">
        <v>1</v>
      </c>
      <c r="AL12">
        <v>4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</v>
      </c>
      <c r="AW12">
        <v>2</v>
      </c>
      <c r="AX12">
        <v>33.33</v>
      </c>
      <c r="AY12">
        <v>2</v>
      </c>
      <c r="AZ12">
        <v>1</v>
      </c>
      <c r="BA12">
        <v>8</v>
      </c>
      <c r="BB12">
        <v>1</v>
      </c>
      <c r="BC12">
        <v>6</v>
      </c>
      <c r="BD12">
        <v>6</v>
      </c>
      <c r="BE12">
        <v>61</v>
      </c>
      <c r="BF12">
        <v>12</v>
      </c>
      <c r="BG12">
        <v>19.670000000000002</v>
      </c>
      <c r="BH12">
        <v>1</v>
      </c>
      <c r="BI12">
        <v>4</v>
      </c>
      <c r="BJ12">
        <v>20</v>
      </c>
      <c r="BK12">
        <v>10</v>
      </c>
      <c r="BL12">
        <v>50</v>
      </c>
      <c r="BM12">
        <v>100</v>
      </c>
      <c r="BN12">
        <v>70</v>
      </c>
      <c r="BO12">
        <v>70</v>
      </c>
      <c r="BP12">
        <v>10</v>
      </c>
      <c r="BQ12">
        <v>3</v>
      </c>
      <c r="BR12">
        <v>30</v>
      </c>
      <c r="BS12">
        <v>0</v>
      </c>
      <c r="BT12">
        <v>0</v>
      </c>
      <c r="BU12">
        <v>0</v>
      </c>
      <c r="BV12">
        <v>69</v>
      </c>
      <c r="BW12">
        <v>18</v>
      </c>
      <c r="BX12">
        <v>8</v>
      </c>
      <c r="BY12">
        <v>1</v>
      </c>
      <c r="BZ12">
        <v>0</v>
      </c>
      <c r="CA12">
        <v>107</v>
      </c>
      <c r="CB12">
        <v>56</v>
      </c>
      <c r="CC12">
        <v>52.34</v>
      </c>
      <c r="CD12">
        <v>46</v>
      </c>
      <c r="CE12">
        <v>41</v>
      </c>
      <c r="CF12">
        <v>89.13</v>
      </c>
      <c r="CG12">
        <v>73</v>
      </c>
      <c r="CH12">
        <v>57</v>
      </c>
      <c r="CI12">
        <v>78.08</v>
      </c>
      <c r="CJ12">
        <v>32</v>
      </c>
      <c r="CK12">
        <v>14</v>
      </c>
      <c r="CL12">
        <v>43.75</v>
      </c>
      <c r="CM12">
        <v>16</v>
      </c>
      <c r="CN12">
        <v>7</v>
      </c>
      <c r="CO12">
        <v>43.75</v>
      </c>
      <c r="CP12">
        <v>60</v>
      </c>
      <c r="CQ12">
        <v>18</v>
      </c>
      <c r="CR12">
        <v>30</v>
      </c>
      <c r="CS12">
        <v>1</v>
      </c>
      <c r="CT12">
        <v>1</v>
      </c>
      <c r="CU12">
        <v>100</v>
      </c>
      <c r="CV12">
        <v>14</v>
      </c>
      <c r="CW12">
        <v>13</v>
      </c>
      <c r="CX12">
        <v>92.86</v>
      </c>
      <c r="CY12">
        <v>13</v>
      </c>
      <c r="CZ12">
        <v>17</v>
      </c>
      <c r="DA12">
        <v>2.73</v>
      </c>
      <c r="DB12">
        <v>11.94</v>
      </c>
      <c r="DC12">
        <v>22.61</v>
      </c>
      <c r="DD12">
        <v>17.79</v>
      </c>
      <c r="DE12">
        <v>34.54</v>
      </c>
    </row>
    <row r="13" spans="1:109" ht="12" customHeight="1" x14ac:dyDescent="0.2">
      <c r="A13" s="2" t="s">
        <v>72</v>
      </c>
      <c r="B13" s="2" t="s">
        <v>73</v>
      </c>
      <c r="C13" s="2" t="s">
        <v>58</v>
      </c>
      <c r="D13" s="2">
        <v>95</v>
      </c>
      <c r="E13" t="s">
        <v>75</v>
      </c>
      <c r="F13" t="s">
        <v>76</v>
      </c>
      <c r="G13">
        <v>4</v>
      </c>
      <c r="H13">
        <v>4.26</v>
      </c>
      <c r="I13">
        <v>20</v>
      </c>
      <c r="J13">
        <v>9</v>
      </c>
      <c r="K13">
        <v>45</v>
      </c>
      <c r="L13">
        <v>824</v>
      </c>
      <c r="M13">
        <v>732</v>
      </c>
      <c r="N13">
        <v>88.83</v>
      </c>
      <c r="O13">
        <v>72.709999999999994</v>
      </c>
      <c r="P13">
        <v>112</v>
      </c>
      <c r="Q13">
        <v>8</v>
      </c>
      <c r="R13">
        <v>15</v>
      </c>
      <c r="S13">
        <v>89</v>
      </c>
      <c r="T13">
        <v>89</v>
      </c>
      <c r="U13">
        <v>17</v>
      </c>
      <c r="V13">
        <v>42</v>
      </c>
      <c r="W13">
        <v>30</v>
      </c>
      <c r="X13">
        <v>176</v>
      </c>
      <c r="Y13">
        <v>88</v>
      </c>
      <c r="Z13">
        <v>50</v>
      </c>
      <c r="AA13">
        <v>5</v>
      </c>
      <c r="AB13">
        <v>2</v>
      </c>
      <c r="AC13">
        <v>40</v>
      </c>
      <c r="AD13">
        <v>60</v>
      </c>
      <c r="AE13">
        <v>11</v>
      </c>
      <c r="AF13">
        <v>18.329999999999998</v>
      </c>
      <c r="AG13">
        <v>0</v>
      </c>
      <c r="AH13">
        <v>0</v>
      </c>
      <c r="AI13">
        <v>0</v>
      </c>
      <c r="AJ13">
        <v>23</v>
      </c>
      <c r="AK13">
        <v>9</v>
      </c>
      <c r="AL13">
        <v>39.130000000000003</v>
      </c>
      <c r="AM13">
        <v>12</v>
      </c>
      <c r="AN13">
        <v>6</v>
      </c>
      <c r="AO13">
        <v>50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27</v>
      </c>
      <c r="AW13">
        <v>8</v>
      </c>
      <c r="AX13">
        <v>29.63</v>
      </c>
      <c r="AY13">
        <v>6</v>
      </c>
      <c r="AZ13">
        <v>28</v>
      </c>
      <c r="BA13">
        <v>47</v>
      </c>
      <c r="BB13">
        <v>10</v>
      </c>
      <c r="BC13">
        <v>10</v>
      </c>
      <c r="BD13">
        <v>53</v>
      </c>
      <c r="BE13">
        <v>100</v>
      </c>
      <c r="BF13">
        <v>30</v>
      </c>
      <c r="BG13">
        <v>30</v>
      </c>
      <c r="BH13">
        <v>3</v>
      </c>
      <c r="BI13">
        <v>0</v>
      </c>
      <c r="BJ13">
        <v>3</v>
      </c>
      <c r="BK13">
        <v>2</v>
      </c>
      <c r="BL13">
        <v>66.67</v>
      </c>
      <c r="BM13">
        <v>61</v>
      </c>
      <c r="BN13">
        <v>49</v>
      </c>
      <c r="BO13">
        <v>80.33</v>
      </c>
      <c r="BP13">
        <v>10</v>
      </c>
      <c r="BQ13">
        <v>6</v>
      </c>
      <c r="BR13">
        <v>60</v>
      </c>
      <c r="BS13">
        <v>0</v>
      </c>
      <c r="BT13">
        <v>0</v>
      </c>
      <c r="BU13">
        <v>0</v>
      </c>
      <c r="BV13">
        <v>20</v>
      </c>
      <c r="BW13">
        <v>3</v>
      </c>
      <c r="BX13">
        <v>10</v>
      </c>
      <c r="BY13">
        <v>0</v>
      </c>
      <c r="BZ13">
        <v>0</v>
      </c>
      <c r="CA13">
        <v>226</v>
      </c>
      <c r="CB13">
        <v>193</v>
      </c>
      <c r="CC13">
        <v>85.4</v>
      </c>
      <c r="CD13">
        <v>121</v>
      </c>
      <c r="CE13">
        <v>113</v>
      </c>
      <c r="CF13">
        <v>93.39</v>
      </c>
      <c r="CG13">
        <v>307</v>
      </c>
      <c r="CH13">
        <v>283</v>
      </c>
      <c r="CI13">
        <v>92.18</v>
      </c>
      <c r="CJ13">
        <v>23</v>
      </c>
      <c r="CK13">
        <v>13</v>
      </c>
      <c r="CL13">
        <v>56.52</v>
      </c>
      <c r="CM13">
        <v>109</v>
      </c>
      <c r="CN13">
        <v>91</v>
      </c>
      <c r="CO13">
        <v>83.49</v>
      </c>
      <c r="CP13">
        <v>112</v>
      </c>
      <c r="CQ13">
        <v>102</v>
      </c>
      <c r="CR13">
        <v>91.07</v>
      </c>
      <c r="CS13">
        <v>4</v>
      </c>
      <c r="CT13">
        <v>3</v>
      </c>
      <c r="CU13">
        <v>75</v>
      </c>
      <c r="CV13">
        <v>20</v>
      </c>
      <c r="CW13">
        <v>18</v>
      </c>
      <c r="CX13">
        <v>90</v>
      </c>
      <c r="CY13">
        <v>2</v>
      </c>
      <c r="CZ13">
        <v>19.62</v>
      </c>
      <c r="DA13">
        <v>7.56</v>
      </c>
      <c r="DB13">
        <v>2.79</v>
      </c>
      <c r="DC13">
        <v>13.11</v>
      </c>
      <c r="DD13">
        <v>16.34</v>
      </c>
      <c r="DE13">
        <v>5.63</v>
      </c>
    </row>
    <row r="14" spans="1:109" ht="12" customHeight="1" x14ac:dyDescent="0.2">
      <c r="A14" s="2" t="s">
        <v>77</v>
      </c>
      <c r="B14" s="2" t="s">
        <v>78</v>
      </c>
      <c r="C14" s="2" t="s">
        <v>58</v>
      </c>
      <c r="D14" s="2">
        <v>97</v>
      </c>
      <c r="E14" t="s">
        <v>54</v>
      </c>
      <c r="F14" t="s">
        <v>74</v>
      </c>
      <c r="G14">
        <v>1</v>
      </c>
      <c r="H14">
        <v>0.77</v>
      </c>
      <c r="I14">
        <v>7</v>
      </c>
      <c r="J14">
        <v>2</v>
      </c>
      <c r="K14">
        <v>28.57</v>
      </c>
      <c r="L14">
        <v>292</v>
      </c>
      <c r="M14">
        <v>209</v>
      </c>
      <c r="N14">
        <v>71.58</v>
      </c>
      <c r="O14">
        <v>34.15</v>
      </c>
      <c r="P14">
        <v>132</v>
      </c>
      <c r="Q14">
        <v>26</v>
      </c>
      <c r="R14">
        <v>65</v>
      </c>
      <c r="S14">
        <v>41</v>
      </c>
      <c r="T14">
        <v>87</v>
      </c>
      <c r="U14">
        <v>43</v>
      </c>
      <c r="V14">
        <v>38</v>
      </c>
      <c r="W14">
        <v>6</v>
      </c>
      <c r="X14">
        <v>253</v>
      </c>
      <c r="Y14">
        <v>108</v>
      </c>
      <c r="Z14">
        <v>42.69</v>
      </c>
      <c r="AA14">
        <v>5</v>
      </c>
      <c r="AB14">
        <v>2</v>
      </c>
      <c r="AC14">
        <v>40</v>
      </c>
      <c r="AD14">
        <v>21</v>
      </c>
      <c r="AE14">
        <v>6</v>
      </c>
      <c r="AF14">
        <v>28.57</v>
      </c>
      <c r="AG14">
        <v>0</v>
      </c>
      <c r="AH14">
        <v>0</v>
      </c>
      <c r="AI14">
        <v>0</v>
      </c>
      <c r="AJ14">
        <v>21</v>
      </c>
      <c r="AK14">
        <v>0</v>
      </c>
      <c r="AL14">
        <v>0</v>
      </c>
      <c r="AM14">
        <v>4</v>
      </c>
      <c r="AN14">
        <v>1</v>
      </c>
      <c r="AO14">
        <v>25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12</v>
      </c>
      <c r="AW14">
        <v>4</v>
      </c>
      <c r="AX14">
        <v>33.33</v>
      </c>
      <c r="AY14">
        <v>5</v>
      </c>
      <c r="AZ14">
        <v>7</v>
      </c>
      <c r="BA14">
        <v>17</v>
      </c>
      <c r="BB14">
        <v>2</v>
      </c>
      <c r="BC14">
        <v>8</v>
      </c>
      <c r="BD14">
        <v>8</v>
      </c>
      <c r="BE14">
        <v>79</v>
      </c>
      <c r="BF14">
        <v>19</v>
      </c>
      <c r="BG14">
        <v>24.05</v>
      </c>
      <c r="BH14">
        <v>2</v>
      </c>
      <c r="BI14">
        <v>4</v>
      </c>
      <c r="BJ14">
        <v>19</v>
      </c>
      <c r="BK14">
        <v>9</v>
      </c>
      <c r="BL14">
        <v>47.37</v>
      </c>
      <c r="BM14">
        <v>103</v>
      </c>
      <c r="BN14">
        <v>63</v>
      </c>
      <c r="BO14">
        <v>61.17</v>
      </c>
      <c r="BP14">
        <v>35</v>
      </c>
      <c r="BQ14">
        <v>11</v>
      </c>
      <c r="BR14">
        <v>31.43</v>
      </c>
      <c r="BS14">
        <v>0</v>
      </c>
      <c r="BT14">
        <v>0</v>
      </c>
      <c r="BU14">
        <v>0</v>
      </c>
      <c r="BV14">
        <v>51</v>
      </c>
      <c r="BW14">
        <v>16</v>
      </c>
      <c r="BX14">
        <v>7</v>
      </c>
      <c r="BY14">
        <v>0</v>
      </c>
      <c r="BZ14">
        <v>0</v>
      </c>
      <c r="CA14">
        <v>140</v>
      </c>
      <c r="CB14">
        <v>86</v>
      </c>
      <c r="CC14">
        <v>61.43</v>
      </c>
      <c r="CD14">
        <v>43</v>
      </c>
      <c r="CE14">
        <v>35</v>
      </c>
      <c r="CF14">
        <v>81.400000000000006</v>
      </c>
      <c r="CG14">
        <v>68</v>
      </c>
      <c r="CH14">
        <v>56</v>
      </c>
      <c r="CI14">
        <v>82.35</v>
      </c>
      <c r="CJ14">
        <v>45</v>
      </c>
      <c r="CK14">
        <v>24</v>
      </c>
      <c r="CL14">
        <v>53.33</v>
      </c>
      <c r="CM14">
        <v>39</v>
      </c>
      <c r="CN14">
        <v>19</v>
      </c>
      <c r="CO14">
        <v>48.72</v>
      </c>
      <c r="CP14">
        <v>62</v>
      </c>
      <c r="CQ14">
        <v>27</v>
      </c>
      <c r="CR14">
        <v>43.55</v>
      </c>
      <c r="CS14">
        <v>0</v>
      </c>
      <c r="CT14">
        <v>0</v>
      </c>
      <c r="CU14">
        <v>0</v>
      </c>
      <c r="CV14">
        <v>29</v>
      </c>
      <c r="CW14">
        <v>23</v>
      </c>
      <c r="CX14">
        <v>79.31</v>
      </c>
      <c r="CY14">
        <v>13</v>
      </c>
      <c r="CZ14">
        <v>15.84</v>
      </c>
      <c r="DA14">
        <v>2.63</v>
      </c>
      <c r="DB14">
        <v>15.41</v>
      </c>
      <c r="DC14">
        <v>22.31</v>
      </c>
      <c r="DD14">
        <v>18.27</v>
      </c>
      <c r="DE14">
        <v>21.56</v>
      </c>
    </row>
    <row r="15" spans="1:109" ht="12" customHeight="1" x14ac:dyDescent="0.2">
      <c r="A15" s="2" t="s">
        <v>77</v>
      </c>
      <c r="B15" s="2" t="s">
        <v>78</v>
      </c>
      <c r="C15" s="2" t="s">
        <v>58</v>
      </c>
      <c r="D15" s="2">
        <v>97</v>
      </c>
      <c r="E15" t="s">
        <v>79</v>
      </c>
      <c r="F15" t="s">
        <v>76</v>
      </c>
      <c r="G15">
        <v>4</v>
      </c>
      <c r="H15">
        <v>2.62</v>
      </c>
      <c r="I15">
        <v>19</v>
      </c>
      <c r="J15">
        <v>9</v>
      </c>
      <c r="K15">
        <v>47.37</v>
      </c>
      <c r="L15">
        <v>674</v>
      </c>
      <c r="M15">
        <v>575</v>
      </c>
      <c r="N15">
        <v>85.31</v>
      </c>
      <c r="O15">
        <v>65.849999999999994</v>
      </c>
      <c r="P15">
        <v>117</v>
      </c>
      <c r="Q15">
        <v>14</v>
      </c>
      <c r="R15">
        <v>42</v>
      </c>
      <c r="S15">
        <v>61</v>
      </c>
      <c r="T15">
        <v>106</v>
      </c>
      <c r="U15">
        <v>37</v>
      </c>
      <c r="V15">
        <v>47</v>
      </c>
      <c r="W15">
        <v>22</v>
      </c>
      <c r="X15">
        <v>253</v>
      </c>
      <c r="Y15">
        <v>137</v>
      </c>
      <c r="Z15">
        <v>54.15</v>
      </c>
      <c r="AA15">
        <v>6</v>
      </c>
      <c r="AB15">
        <v>1</v>
      </c>
      <c r="AC15">
        <v>16.670000000000002</v>
      </c>
      <c r="AD15">
        <v>64</v>
      </c>
      <c r="AE15">
        <v>17</v>
      </c>
      <c r="AF15">
        <v>26.56</v>
      </c>
      <c r="AG15">
        <v>0</v>
      </c>
      <c r="AH15">
        <v>0</v>
      </c>
      <c r="AI15">
        <v>0</v>
      </c>
      <c r="AJ15">
        <v>23</v>
      </c>
      <c r="AK15">
        <v>2</v>
      </c>
      <c r="AL15">
        <v>8.6999999999999993</v>
      </c>
      <c r="AM15">
        <v>7</v>
      </c>
      <c r="AN15">
        <v>3</v>
      </c>
      <c r="AO15">
        <v>42.86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30</v>
      </c>
      <c r="AW15">
        <v>12</v>
      </c>
      <c r="AX15">
        <v>40</v>
      </c>
      <c r="AY15">
        <v>11</v>
      </c>
      <c r="AZ15">
        <v>12</v>
      </c>
      <c r="BA15">
        <v>36</v>
      </c>
      <c r="BB15">
        <v>4</v>
      </c>
      <c r="BC15">
        <v>16</v>
      </c>
      <c r="BD15">
        <v>34</v>
      </c>
      <c r="BE15">
        <v>103</v>
      </c>
      <c r="BF15">
        <v>40</v>
      </c>
      <c r="BG15">
        <v>38.83</v>
      </c>
      <c r="BH15">
        <v>0</v>
      </c>
      <c r="BI15">
        <v>1</v>
      </c>
      <c r="BJ15">
        <v>7</v>
      </c>
      <c r="BK15">
        <v>3</v>
      </c>
      <c r="BL15">
        <v>42.86</v>
      </c>
      <c r="BM15">
        <v>79</v>
      </c>
      <c r="BN15">
        <v>60</v>
      </c>
      <c r="BO15">
        <v>75.95</v>
      </c>
      <c r="BP15">
        <v>35</v>
      </c>
      <c r="BQ15">
        <v>23</v>
      </c>
      <c r="BR15">
        <v>65.709999999999994</v>
      </c>
      <c r="BS15">
        <v>0</v>
      </c>
      <c r="BT15">
        <v>0</v>
      </c>
      <c r="BU15">
        <v>0</v>
      </c>
      <c r="BV15">
        <v>49</v>
      </c>
      <c r="BW15">
        <v>9</v>
      </c>
      <c r="BX15">
        <v>7</v>
      </c>
      <c r="BY15">
        <v>1</v>
      </c>
      <c r="BZ15">
        <v>0</v>
      </c>
      <c r="CA15">
        <v>211</v>
      </c>
      <c r="CB15">
        <v>156</v>
      </c>
      <c r="CC15">
        <v>73.930000000000007</v>
      </c>
      <c r="CD15">
        <v>99</v>
      </c>
      <c r="CE15">
        <v>93</v>
      </c>
      <c r="CF15">
        <v>93.94</v>
      </c>
      <c r="CG15">
        <v>279</v>
      </c>
      <c r="CH15">
        <v>254</v>
      </c>
      <c r="CI15">
        <v>91.04</v>
      </c>
      <c r="CJ15">
        <v>45</v>
      </c>
      <c r="CK15">
        <v>27</v>
      </c>
      <c r="CL15">
        <v>60</v>
      </c>
      <c r="CM15">
        <v>116</v>
      </c>
      <c r="CN15">
        <v>94</v>
      </c>
      <c r="CO15">
        <v>81.03</v>
      </c>
      <c r="CP15">
        <v>118</v>
      </c>
      <c r="CQ15">
        <v>97</v>
      </c>
      <c r="CR15">
        <v>82.2</v>
      </c>
      <c r="CS15">
        <v>1</v>
      </c>
      <c r="CT15">
        <v>1</v>
      </c>
      <c r="CU15">
        <v>100</v>
      </c>
      <c r="CV15">
        <v>24</v>
      </c>
      <c r="CW15">
        <v>24</v>
      </c>
      <c r="CX15">
        <v>100</v>
      </c>
      <c r="CY15">
        <v>8</v>
      </c>
      <c r="CZ15">
        <v>18.96</v>
      </c>
      <c r="DA15">
        <v>5.62</v>
      </c>
      <c r="DB15">
        <v>6.68</v>
      </c>
      <c r="DC15">
        <v>16.88</v>
      </c>
      <c r="DD15">
        <v>18.600000000000001</v>
      </c>
      <c r="DE15">
        <v>5.73</v>
      </c>
    </row>
    <row r="16" spans="1:109" ht="12" customHeight="1" x14ac:dyDescent="0.2">
      <c r="A16" s="2" t="s">
        <v>80</v>
      </c>
      <c r="B16" s="2" t="s">
        <v>81</v>
      </c>
      <c r="C16" s="2" t="s">
        <v>58</v>
      </c>
      <c r="D16" s="2">
        <v>99</v>
      </c>
      <c r="E16" t="s">
        <v>54</v>
      </c>
      <c r="F16" t="s">
        <v>76</v>
      </c>
      <c r="G16">
        <v>0</v>
      </c>
      <c r="H16">
        <v>0.12</v>
      </c>
      <c r="I16">
        <v>4</v>
      </c>
      <c r="J16">
        <v>2</v>
      </c>
      <c r="K16">
        <v>50</v>
      </c>
      <c r="L16">
        <v>350</v>
      </c>
      <c r="M16">
        <v>263</v>
      </c>
      <c r="N16">
        <v>75.14</v>
      </c>
      <c r="O16">
        <v>40.33</v>
      </c>
      <c r="P16">
        <v>132</v>
      </c>
      <c r="Q16">
        <v>29</v>
      </c>
      <c r="R16">
        <v>62</v>
      </c>
      <c r="S16">
        <v>41</v>
      </c>
      <c r="T16">
        <v>79</v>
      </c>
      <c r="U16">
        <v>39</v>
      </c>
      <c r="V16">
        <v>31</v>
      </c>
      <c r="W16">
        <v>9</v>
      </c>
      <c r="X16">
        <v>184</v>
      </c>
      <c r="Y16">
        <v>93</v>
      </c>
      <c r="Z16">
        <v>50.54</v>
      </c>
      <c r="AA16">
        <v>3</v>
      </c>
      <c r="AB16">
        <v>2</v>
      </c>
      <c r="AC16">
        <v>66.67</v>
      </c>
      <c r="AD16">
        <v>20</v>
      </c>
      <c r="AE16">
        <v>3</v>
      </c>
      <c r="AF16">
        <v>15</v>
      </c>
      <c r="AG16">
        <v>0</v>
      </c>
      <c r="AH16">
        <v>0</v>
      </c>
      <c r="AI16">
        <v>0</v>
      </c>
      <c r="AJ16">
        <v>27</v>
      </c>
      <c r="AK16">
        <v>1</v>
      </c>
      <c r="AL16">
        <v>3.7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</v>
      </c>
      <c r="AW16">
        <v>6</v>
      </c>
      <c r="AX16">
        <v>75</v>
      </c>
      <c r="AY16">
        <v>6</v>
      </c>
      <c r="AZ16">
        <v>2</v>
      </c>
      <c r="BA16">
        <v>11</v>
      </c>
      <c r="BB16">
        <v>0</v>
      </c>
      <c r="BC16">
        <v>5</v>
      </c>
      <c r="BD16">
        <v>7</v>
      </c>
      <c r="BE16">
        <v>69</v>
      </c>
      <c r="BF16">
        <v>19</v>
      </c>
      <c r="BG16">
        <v>27.54</v>
      </c>
      <c r="BH16">
        <v>3</v>
      </c>
      <c r="BI16">
        <v>3</v>
      </c>
      <c r="BJ16">
        <v>15</v>
      </c>
      <c r="BK16">
        <v>6</v>
      </c>
      <c r="BL16">
        <v>40</v>
      </c>
      <c r="BM16">
        <v>80</v>
      </c>
      <c r="BN16">
        <v>59</v>
      </c>
      <c r="BO16">
        <v>73.75</v>
      </c>
      <c r="BP16">
        <v>19</v>
      </c>
      <c r="BQ16">
        <v>9</v>
      </c>
      <c r="BR16">
        <v>47.37</v>
      </c>
      <c r="BS16">
        <v>5</v>
      </c>
      <c r="BT16">
        <v>4</v>
      </c>
      <c r="BU16">
        <v>80</v>
      </c>
      <c r="BV16">
        <v>48</v>
      </c>
      <c r="BW16">
        <v>13</v>
      </c>
      <c r="BX16">
        <v>8</v>
      </c>
      <c r="BY16">
        <v>3</v>
      </c>
      <c r="BZ16">
        <v>0</v>
      </c>
      <c r="CA16">
        <v>115</v>
      </c>
      <c r="CB16">
        <v>66</v>
      </c>
      <c r="CC16">
        <v>57.39</v>
      </c>
      <c r="CD16">
        <v>40</v>
      </c>
      <c r="CE16">
        <v>36</v>
      </c>
      <c r="CF16">
        <v>90</v>
      </c>
      <c r="CG16">
        <v>135</v>
      </c>
      <c r="CH16">
        <v>117</v>
      </c>
      <c r="CI16">
        <v>86.67</v>
      </c>
      <c r="CJ16">
        <v>41</v>
      </c>
      <c r="CK16">
        <v>13</v>
      </c>
      <c r="CL16">
        <v>31.71</v>
      </c>
      <c r="CM16">
        <v>27</v>
      </c>
      <c r="CN16">
        <v>9</v>
      </c>
      <c r="CO16">
        <v>33.33</v>
      </c>
      <c r="CP16">
        <v>60</v>
      </c>
      <c r="CQ16">
        <v>27</v>
      </c>
      <c r="CR16">
        <v>45</v>
      </c>
      <c r="CS16">
        <v>0</v>
      </c>
      <c r="CT16">
        <v>0</v>
      </c>
      <c r="CU16">
        <v>0</v>
      </c>
      <c r="CV16">
        <v>20</v>
      </c>
      <c r="CW16">
        <v>12</v>
      </c>
      <c r="CX16">
        <v>60</v>
      </c>
      <c r="CY16">
        <v>15</v>
      </c>
      <c r="CZ16">
        <v>16.22</v>
      </c>
      <c r="DA16">
        <v>3.21</v>
      </c>
      <c r="DB16">
        <v>11.71</v>
      </c>
      <c r="DC16">
        <v>22.74</v>
      </c>
      <c r="DD16">
        <v>18.7</v>
      </c>
      <c r="DE16">
        <v>11.3</v>
      </c>
    </row>
    <row r="17" spans="1:109" ht="12" customHeight="1" x14ac:dyDescent="0.2">
      <c r="A17" s="2" t="s">
        <v>80</v>
      </c>
      <c r="B17" s="2" t="s">
        <v>81</v>
      </c>
      <c r="C17" s="2" t="s">
        <v>58</v>
      </c>
      <c r="D17" s="2">
        <v>99</v>
      </c>
      <c r="E17" t="s">
        <v>82</v>
      </c>
      <c r="F17" t="s">
        <v>59</v>
      </c>
      <c r="G17">
        <v>3</v>
      </c>
      <c r="H17">
        <v>1.85</v>
      </c>
      <c r="I17">
        <v>15</v>
      </c>
      <c r="J17">
        <v>6</v>
      </c>
      <c r="K17">
        <v>40</v>
      </c>
      <c r="L17">
        <v>519</v>
      </c>
      <c r="M17">
        <v>432</v>
      </c>
      <c r="N17">
        <v>83.24</v>
      </c>
      <c r="O17">
        <v>59.67</v>
      </c>
      <c r="P17">
        <v>122</v>
      </c>
      <c r="Q17">
        <v>15</v>
      </c>
      <c r="R17">
        <v>41</v>
      </c>
      <c r="S17">
        <v>66</v>
      </c>
      <c r="T17">
        <v>91</v>
      </c>
      <c r="U17">
        <v>35</v>
      </c>
      <c r="V17">
        <v>38</v>
      </c>
      <c r="W17">
        <v>18</v>
      </c>
      <c r="X17">
        <v>184</v>
      </c>
      <c r="Y17">
        <v>89</v>
      </c>
      <c r="Z17">
        <v>48.37</v>
      </c>
      <c r="AA17">
        <v>2</v>
      </c>
      <c r="AB17">
        <v>0</v>
      </c>
      <c r="AC17">
        <v>0</v>
      </c>
      <c r="AD17">
        <v>36</v>
      </c>
      <c r="AE17">
        <v>9</v>
      </c>
      <c r="AF17">
        <v>25</v>
      </c>
      <c r="AG17">
        <v>0</v>
      </c>
      <c r="AH17">
        <v>0</v>
      </c>
      <c r="AI17">
        <v>0</v>
      </c>
      <c r="AJ17">
        <v>24</v>
      </c>
      <c r="AK17">
        <v>5</v>
      </c>
      <c r="AL17">
        <v>20.83</v>
      </c>
      <c r="AM17">
        <v>11</v>
      </c>
      <c r="AN17">
        <v>5</v>
      </c>
      <c r="AO17">
        <v>45.45</v>
      </c>
      <c r="AP17">
        <v>3</v>
      </c>
      <c r="AQ17">
        <v>1</v>
      </c>
      <c r="AR17">
        <v>33.33</v>
      </c>
      <c r="AS17">
        <v>0</v>
      </c>
      <c r="AT17">
        <v>0</v>
      </c>
      <c r="AU17">
        <v>0</v>
      </c>
      <c r="AV17">
        <v>26</v>
      </c>
      <c r="AW17">
        <v>9</v>
      </c>
      <c r="AX17">
        <v>34.619999999999997</v>
      </c>
      <c r="AY17">
        <v>8</v>
      </c>
      <c r="AZ17">
        <v>8</v>
      </c>
      <c r="BA17">
        <v>32</v>
      </c>
      <c r="BB17">
        <v>2</v>
      </c>
      <c r="BC17">
        <v>16</v>
      </c>
      <c r="BD17">
        <v>24</v>
      </c>
      <c r="BE17">
        <v>80</v>
      </c>
      <c r="BF17">
        <v>21</v>
      </c>
      <c r="BG17">
        <v>26.25</v>
      </c>
      <c r="BH17">
        <v>2</v>
      </c>
      <c r="BI17">
        <v>0</v>
      </c>
      <c r="BJ17">
        <v>4</v>
      </c>
      <c r="BK17">
        <v>2</v>
      </c>
      <c r="BL17">
        <v>50</v>
      </c>
      <c r="BM17">
        <v>69</v>
      </c>
      <c r="BN17">
        <v>50</v>
      </c>
      <c r="BO17">
        <v>72.459999999999994</v>
      </c>
      <c r="BP17">
        <v>19</v>
      </c>
      <c r="BQ17">
        <v>9</v>
      </c>
      <c r="BR17">
        <v>47.37</v>
      </c>
      <c r="BS17">
        <v>3</v>
      </c>
      <c r="BT17">
        <v>3</v>
      </c>
      <c r="BU17">
        <v>100</v>
      </c>
      <c r="BV17">
        <v>42</v>
      </c>
      <c r="BW17">
        <v>9</v>
      </c>
      <c r="BX17">
        <v>9</v>
      </c>
      <c r="BY17">
        <v>0</v>
      </c>
      <c r="BZ17">
        <v>0</v>
      </c>
      <c r="CA17">
        <v>192</v>
      </c>
      <c r="CB17">
        <v>140</v>
      </c>
      <c r="CC17">
        <v>72.92</v>
      </c>
      <c r="CD17">
        <v>77</v>
      </c>
      <c r="CE17">
        <v>72</v>
      </c>
      <c r="CF17">
        <v>93.51</v>
      </c>
      <c r="CG17">
        <v>188</v>
      </c>
      <c r="CH17">
        <v>171</v>
      </c>
      <c r="CI17">
        <v>90.96</v>
      </c>
      <c r="CJ17">
        <v>39</v>
      </c>
      <c r="CK17">
        <v>18</v>
      </c>
      <c r="CL17">
        <v>46.15</v>
      </c>
      <c r="CM17">
        <v>64</v>
      </c>
      <c r="CN17">
        <v>40</v>
      </c>
      <c r="CO17">
        <v>62.5</v>
      </c>
      <c r="CP17">
        <v>81</v>
      </c>
      <c r="CQ17">
        <v>64</v>
      </c>
      <c r="CR17">
        <v>79.010000000000005</v>
      </c>
      <c r="CS17">
        <v>0</v>
      </c>
      <c r="CT17">
        <v>0</v>
      </c>
      <c r="CU17">
        <v>0</v>
      </c>
      <c r="CV17">
        <v>22</v>
      </c>
      <c r="CW17">
        <v>16</v>
      </c>
      <c r="CX17">
        <v>72.73</v>
      </c>
      <c r="CY17">
        <v>2</v>
      </c>
      <c r="CZ17">
        <v>16.25</v>
      </c>
      <c r="DA17">
        <v>4.29</v>
      </c>
      <c r="DB17">
        <v>7.51</v>
      </c>
      <c r="DC17">
        <v>15.45</v>
      </c>
      <c r="DD17">
        <v>20.05</v>
      </c>
      <c r="DE17">
        <v>6.93</v>
      </c>
    </row>
    <row r="18" spans="1:109" ht="12" customHeight="1" x14ac:dyDescent="0.2">
      <c r="A18" s="2" t="s">
        <v>83</v>
      </c>
      <c r="B18" s="2" t="s">
        <v>84</v>
      </c>
      <c r="C18" s="2" t="s">
        <v>58</v>
      </c>
      <c r="D18" s="2">
        <v>97</v>
      </c>
      <c r="E18" t="s">
        <v>54</v>
      </c>
      <c r="F18" t="s">
        <v>64</v>
      </c>
      <c r="G18">
        <v>5</v>
      </c>
      <c r="H18">
        <v>3.05</v>
      </c>
      <c r="I18">
        <v>18</v>
      </c>
      <c r="J18">
        <v>11</v>
      </c>
      <c r="K18">
        <v>61.11</v>
      </c>
      <c r="L18">
        <v>344</v>
      </c>
      <c r="M18">
        <v>254</v>
      </c>
      <c r="N18">
        <v>73.84</v>
      </c>
      <c r="O18">
        <v>42.66</v>
      </c>
      <c r="P18">
        <v>130</v>
      </c>
      <c r="Q18">
        <v>38</v>
      </c>
      <c r="R18">
        <v>46</v>
      </c>
      <c r="S18">
        <v>46</v>
      </c>
      <c r="T18">
        <v>103</v>
      </c>
      <c r="U18">
        <v>54</v>
      </c>
      <c r="V18">
        <v>34</v>
      </c>
      <c r="W18">
        <v>15</v>
      </c>
      <c r="X18">
        <v>266</v>
      </c>
      <c r="Y18">
        <v>122</v>
      </c>
      <c r="Z18">
        <v>45.86</v>
      </c>
      <c r="AA18">
        <v>4</v>
      </c>
      <c r="AB18">
        <v>2</v>
      </c>
      <c r="AC18">
        <v>50</v>
      </c>
      <c r="AD18">
        <v>29</v>
      </c>
      <c r="AE18">
        <v>16</v>
      </c>
      <c r="AF18">
        <v>55.17</v>
      </c>
      <c r="AG18">
        <v>0</v>
      </c>
      <c r="AH18">
        <v>0</v>
      </c>
      <c r="AI18">
        <v>0</v>
      </c>
      <c r="AJ18">
        <v>22</v>
      </c>
      <c r="AK18">
        <v>2</v>
      </c>
      <c r="AL18">
        <v>9.09</v>
      </c>
      <c r="AM18">
        <v>3</v>
      </c>
      <c r="AN18">
        <v>1</v>
      </c>
      <c r="AO18">
        <v>33.33</v>
      </c>
      <c r="AP18">
        <v>2</v>
      </c>
      <c r="AQ18">
        <v>1</v>
      </c>
      <c r="AR18">
        <v>50</v>
      </c>
      <c r="AS18">
        <v>0</v>
      </c>
      <c r="AT18">
        <v>0</v>
      </c>
      <c r="AU18">
        <v>0</v>
      </c>
      <c r="AV18">
        <v>13</v>
      </c>
      <c r="AW18">
        <v>4</v>
      </c>
      <c r="AX18">
        <v>30.77</v>
      </c>
      <c r="AY18">
        <v>4</v>
      </c>
      <c r="AZ18">
        <v>11</v>
      </c>
      <c r="BA18">
        <v>27</v>
      </c>
      <c r="BB18">
        <v>5</v>
      </c>
      <c r="BC18">
        <v>10</v>
      </c>
      <c r="BD18">
        <v>27</v>
      </c>
      <c r="BE18">
        <v>107</v>
      </c>
      <c r="BF18">
        <v>32</v>
      </c>
      <c r="BG18">
        <v>29.91</v>
      </c>
      <c r="BH18">
        <v>4</v>
      </c>
      <c r="BI18">
        <v>0</v>
      </c>
      <c r="BJ18">
        <v>14</v>
      </c>
      <c r="BK18">
        <v>3</v>
      </c>
      <c r="BL18">
        <v>21.43</v>
      </c>
      <c r="BM18">
        <v>99</v>
      </c>
      <c r="BN18">
        <v>62</v>
      </c>
      <c r="BO18">
        <v>62.63</v>
      </c>
      <c r="BP18">
        <v>30</v>
      </c>
      <c r="BQ18">
        <v>15</v>
      </c>
      <c r="BR18">
        <v>50</v>
      </c>
      <c r="BS18">
        <v>3</v>
      </c>
      <c r="BT18">
        <v>1</v>
      </c>
      <c r="BU18">
        <v>33.33</v>
      </c>
      <c r="BV18">
        <v>58</v>
      </c>
      <c r="BW18">
        <v>18</v>
      </c>
      <c r="BX18">
        <v>6</v>
      </c>
      <c r="BY18">
        <v>1</v>
      </c>
      <c r="BZ18">
        <v>0</v>
      </c>
      <c r="CA18">
        <v>151</v>
      </c>
      <c r="CB18">
        <v>101</v>
      </c>
      <c r="CC18">
        <v>66.89</v>
      </c>
      <c r="CD18">
        <v>55</v>
      </c>
      <c r="CE18">
        <v>51</v>
      </c>
      <c r="CF18">
        <v>92.73</v>
      </c>
      <c r="CG18">
        <v>89</v>
      </c>
      <c r="CH18">
        <v>71</v>
      </c>
      <c r="CI18">
        <v>79.78</v>
      </c>
      <c r="CJ18">
        <v>50</v>
      </c>
      <c r="CK18">
        <v>26</v>
      </c>
      <c r="CL18">
        <v>52</v>
      </c>
      <c r="CM18">
        <v>31</v>
      </c>
      <c r="CN18">
        <v>18</v>
      </c>
      <c r="CO18">
        <v>58.06</v>
      </c>
      <c r="CP18">
        <v>86</v>
      </c>
      <c r="CQ18">
        <v>46</v>
      </c>
      <c r="CR18">
        <v>53.49</v>
      </c>
      <c r="CS18">
        <v>1</v>
      </c>
      <c r="CT18">
        <v>1</v>
      </c>
      <c r="CU18">
        <v>100</v>
      </c>
      <c r="CV18">
        <v>23</v>
      </c>
      <c r="CW18">
        <v>18</v>
      </c>
      <c r="CX18">
        <v>78.260000000000005</v>
      </c>
      <c r="CY18">
        <v>10</v>
      </c>
      <c r="CZ18">
        <v>15.96</v>
      </c>
      <c r="DA18">
        <v>2.87</v>
      </c>
      <c r="DB18">
        <v>14.53</v>
      </c>
      <c r="DC18">
        <v>15.1</v>
      </c>
      <c r="DD18">
        <v>18.47</v>
      </c>
      <c r="DE18">
        <v>11.54</v>
      </c>
    </row>
    <row r="19" spans="1:109" ht="12" customHeight="1" x14ac:dyDescent="0.2">
      <c r="A19" s="2" t="s">
        <v>83</v>
      </c>
      <c r="B19" s="2" t="s">
        <v>84</v>
      </c>
      <c r="C19" s="2" t="s">
        <v>58</v>
      </c>
      <c r="D19" s="2">
        <v>97</v>
      </c>
      <c r="E19" t="s">
        <v>85</v>
      </c>
      <c r="F19" t="s">
        <v>86</v>
      </c>
      <c r="G19">
        <v>0</v>
      </c>
      <c r="H19">
        <v>1.68</v>
      </c>
      <c r="I19">
        <v>14</v>
      </c>
      <c r="J19">
        <v>3</v>
      </c>
      <c r="K19">
        <v>21.43</v>
      </c>
      <c r="L19">
        <v>505</v>
      </c>
      <c r="M19">
        <v>400</v>
      </c>
      <c r="N19">
        <v>79.209999999999994</v>
      </c>
      <c r="O19">
        <v>57.34</v>
      </c>
      <c r="P19">
        <v>144</v>
      </c>
      <c r="Q19">
        <v>18</v>
      </c>
      <c r="R19">
        <v>49</v>
      </c>
      <c r="S19">
        <v>77</v>
      </c>
      <c r="T19">
        <v>103</v>
      </c>
      <c r="U19">
        <v>35</v>
      </c>
      <c r="V19">
        <v>40</v>
      </c>
      <c r="W19">
        <v>28</v>
      </c>
      <c r="X19">
        <v>266</v>
      </c>
      <c r="Y19">
        <v>137</v>
      </c>
      <c r="Z19">
        <v>51.5</v>
      </c>
      <c r="AA19">
        <v>6</v>
      </c>
      <c r="AB19">
        <v>0</v>
      </c>
      <c r="AC19">
        <v>0</v>
      </c>
      <c r="AD19">
        <v>37</v>
      </c>
      <c r="AE19">
        <v>9</v>
      </c>
      <c r="AF19">
        <v>24.32</v>
      </c>
      <c r="AG19">
        <v>0</v>
      </c>
      <c r="AH19">
        <v>0</v>
      </c>
      <c r="AI19">
        <v>0</v>
      </c>
      <c r="AJ19">
        <v>31</v>
      </c>
      <c r="AK19">
        <v>5</v>
      </c>
      <c r="AL19">
        <v>16.13</v>
      </c>
      <c r="AM19">
        <v>11</v>
      </c>
      <c r="AN19">
        <v>2</v>
      </c>
      <c r="AO19">
        <v>18.18</v>
      </c>
      <c r="AP19">
        <v>2</v>
      </c>
      <c r="AQ19">
        <v>1</v>
      </c>
      <c r="AR19">
        <v>50</v>
      </c>
      <c r="AS19">
        <v>0</v>
      </c>
      <c r="AT19">
        <v>0</v>
      </c>
      <c r="AU19">
        <v>0</v>
      </c>
      <c r="AV19">
        <v>29</v>
      </c>
      <c r="AW19">
        <v>16</v>
      </c>
      <c r="AX19">
        <v>55.17</v>
      </c>
      <c r="AY19">
        <v>14</v>
      </c>
      <c r="AZ19">
        <v>8</v>
      </c>
      <c r="BA19">
        <v>36</v>
      </c>
      <c r="BB19">
        <v>3</v>
      </c>
      <c r="BC19">
        <v>19</v>
      </c>
      <c r="BD19">
        <v>32</v>
      </c>
      <c r="BE19">
        <v>99</v>
      </c>
      <c r="BF19">
        <v>37</v>
      </c>
      <c r="BG19">
        <v>37.369999999999997</v>
      </c>
      <c r="BH19">
        <v>2</v>
      </c>
      <c r="BI19">
        <v>5</v>
      </c>
      <c r="BJ19">
        <v>18</v>
      </c>
      <c r="BK19">
        <v>11</v>
      </c>
      <c r="BL19">
        <v>61.11</v>
      </c>
      <c r="BM19">
        <v>107</v>
      </c>
      <c r="BN19">
        <v>75</v>
      </c>
      <c r="BO19">
        <v>70.09</v>
      </c>
      <c r="BP19">
        <v>30</v>
      </c>
      <c r="BQ19">
        <v>14</v>
      </c>
      <c r="BR19">
        <v>46.67</v>
      </c>
      <c r="BS19">
        <v>1</v>
      </c>
      <c r="BT19">
        <v>0</v>
      </c>
      <c r="BU19">
        <v>0</v>
      </c>
      <c r="BV19">
        <v>37</v>
      </c>
      <c r="BW19">
        <v>4</v>
      </c>
      <c r="BX19">
        <v>8</v>
      </c>
      <c r="BY19">
        <v>1</v>
      </c>
      <c r="BZ19">
        <v>0</v>
      </c>
      <c r="CA19">
        <v>181</v>
      </c>
      <c r="CB19">
        <v>132</v>
      </c>
      <c r="CC19">
        <v>72.930000000000007</v>
      </c>
      <c r="CD19">
        <v>74</v>
      </c>
      <c r="CE19">
        <v>67</v>
      </c>
      <c r="CF19">
        <v>90.54</v>
      </c>
      <c r="CG19">
        <v>176</v>
      </c>
      <c r="CH19">
        <v>149</v>
      </c>
      <c r="CI19">
        <v>84.66</v>
      </c>
      <c r="CJ19">
        <v>51</v>
      </c>
      <c r="CK19">
        <v>24</v>
      </c>
      <c r="CL19">
        <v>47.06</v>
      </c>
      <c r="CM19">
        <v>67</v>
      </c>
      <c r="CN19">
        <v>42</v>
      </c>
      <c r="CO19">
        <v>62.69</v>
      </c>
      <c r="CP19">
        <v>90</v>
      </c>
      <c r="CQ19">
        <v>62</v>
      </c>
      <c r="CR19">
        <v>68.89</v>
      </c>
      <c r="CS19">
        <v>3</v>
      </c>
      <c r="CT19">
        <v>2</v>
      </c>
      <c r="CU19">
        <v>66.67</v>
      </c>
      <c r="CV19">
        <v>30</v>
      </c>
      <c r="CW19">
        <v>25</v>
      </c>
      <c r="CX19">
        <v>83.33</v>
      </c>
      <c r="CY19">
        <v>10</v>
      </c>
      <c r="CZ19">
        <v>17.420000000000002</v>
      </c>
      <c r="DA19">
        <v>3.95</v>
      </c>
      <c r="DB19">
        <v>10.1</v>
      </c>
      <c r="DC19">
        <v>18.25</v>
      </c>
      <c r="DD19">
        <v>17.59</v>
      </c>
      <c r="DE19">
        <v>7.4</v>
      </c>
    </row>
    <row r="20" spans="1:109" ht="12" customHeight="1" x14ac:dyDescent="0.2">
      <c r="A20" s="2" t="s">
        <v>87</v>
      </c>
      <c r="B20" s="2" t="s">
        <v>88</v>
      </c>
      <c r="C20" s="2" t="s">
        <v>58</v>
      </c>
      <c r="D20" s="2">
        <v>100</v>
      </c>
      <c r="E20" t="s">
        <v>54</v>
      </c>
      <c r="F20" t="s">
        <v>64</v>
      </c>
      <c r="G20">
        <v>1</v>
      </c>
      <c r="H20">
        <v>0.32</v>
      </c>
      <c r="I20">
        <v>5</v>
      </c>
      <c r="J20">
        <v>1</v>
      </c>
      <c r="K20">
        <v>20</v>
      </c>
      <c r="L20">
        <v>320</v>
      </c>
      <c r="M20">
        <v>194</v>
      </c>
      <c r="N20">
        <v>60.62</v>
      </c>
      <c r="O20">
        <v>45.28</v>
      </c>
      <c r="P20">
        <v>184</v>
      </c>
      <c r="Q20">
        <v>35</v>
      </c>
      <c r="R20">
        <v>83</v>
      </c>
      <c r="S20">
        <v>66</v>
      </c>
      <c r="T20">
        <v>114</v>
      </c>
      <c r="U20">
        <v>62</v>
      </c>
      <c r="V20">
        <v>39</v>
      </c>
      <c r="W20">
        <v>13</v>
      </c>
      <c r="X20">
        <v>214</v>
      </c>
      <c r="Y20">
        <v>98</v>
      </c>
      <c r="Z20">
        <v>45.79</v>
      </c>
      <c r="AA20">
        <v>2</v>
      </c>
      <c r="AB20">
        <v>0</v>
      </c>
      <c r="AC20">
        <v>0</v>
      </c>
      <c r="AD20">
        <v>26</v>
      </c>
      <c r="AE20">
        <v>2</v>
      </c>
      <c r="AF20">
        <v>7.69</v>
      </c>
      <c r="AG20">
        <v>0</v>
      </c>
      <c r="AH20">
        <v>0</v>
      </c>
      <c r="AI20">
        <v>0</v>
      </c>
      <c r="AJ20">
        <v>26</v>
      </c>
      <c r="AK20">
        <v>2</v>
      </c>
      <c r="AL20">
        <v>7.69</v>
      </c>
      <c r="AM20">
        <v>3</v>
      </c>
      <c r="AN20">
        <v>1</v>
      </c>
      <c r="AO20">
        <v>33.33</v>
      </c>
      <c r="AP20">
        <v>4</v>
      </c>
      <c r="AQ20">
        <v>1</v>
      </c>
      <c r="AR20">
        <v>25</v>
      </c>
      <c r="AS20">
        <v>0</v>
      </c>
      <c r="AT20">
        <v>0</v>
      </c>
      <c r="AU20">
        <v>0</v>
      </c>
      <c r="AV20">
        <v>9</v>
      </c>
      <c r="AW20">
        <v>2</v>
      </c>
      <c r="AX20">
        <v>22.22</v>
      </c>
      <c r="AY20">
        <v>2</v>
      </c>
      <c r="AZ20">
        <v>4</v>
      </c>
      <c r="BA20">
        <v>14</v>
      </c>
      <c r="BB20">
        <v>0</v>
      </c>
      <c r="BC20">
        <v>5</v>
      </c>
      <c r="BD20">
        <v>8</v>
      </c>
      <c r="BE20">
        <v>75</v>
      </c>
      <c r="BF20">
        <v>24</v>
      </c>
      <c r="BG20">
        <v>32</v>
      </c>
      <c r="BH20">
        <v>3</v>
      </c>
      <c r="BI20">
        <v>2</v>
      </c>
      <c r="BJ20">
        <v>9</v>
      </c>
      <c r="BK20">
        <v>3</v>
      </c>
      <c r="BL20">
        <v>33.33</v>
      </c>
      <c r="BM20">
        <v>70</v>
      </c>
      <c r="BN20">
        <v>42</v>
      </c>
      <c r="BO20">
        <v>60</v>
      </c>
      <c r="BP20">
        <v>40</v>
      </c>
      <c r="BQ20">
        <v>22</v>
      </c>
      <c r="BR20">
        <v>55</v>
      </c>
      <c r="BS20">
        <v>1</v>
      </c>
      <c r="BT20">
        <v>0</v>
      </c>
      <c r="BU20">
        <v>0</v>
      </c>
      <c r="BV20">
        <v>46</v>
      </c>
      <c r="BW20">
        <v>29</v>
      </c>
      <c r="BX20">
        <v>15</v>
      </c>
      <c r="BY20">
        <v>2</v>
      </c>
      <c r="BZ20">
        <v>0</v>
      </c>
      <c r="CA20">
        <v>155</v>
      </c>
      <c r="CB20">
        <v>72</v>
      </c>
      <c r="CC20">
        <v>46.45</v>
      </c>
      <c r="CD20">
        <v>48</v>
      </c>
      <c r="CE20">
        <v>42</v>
      </c>
      <c r="CF20">
        <v>87.5</v>
      </c>
      <c r="CG20">
        <v>75</v>
      </c>
      <c r="CH20">
        <v>56</v>
      </c>
      <c r="CI20">
        <v>74.67</v>
      </c>
      <c r="CJ20">
        <v>73</v>
      </c>
      <c r="CK20">
        <v>29</v>
      </c>
      <c r="CL20">
        <v>39.729999999999997</v>
      </c>
      <c r="CM20">
        <v>53</v>
      </c>
      <c r="CN20">
        <v>21</v>
      </c>
      <c r="CO20">
        <v>39.619999999999997</v>
      </c>
      <c r="CP20">
        <v>81</v>
      </c>
      <c r="CQ20">
        <v>30</v>
      </c>
      <c r="CR20">
        <v>37.04</v>
      </c>
      <c r="CS20">
        <v>0</v>
      </c>
      <c r="CT20">
        <v>0</v>
      </c>
      <c r="CU20">
        <v>0</v>
      </c>
      <c r="CV20">
        <v>48</v>
      </c>
      <c r="CW20">
        <v>29</v>
      </c>
      <c r="CX20">
        <v>60.42</v>
      </c>
      <c r="CY20">
        <v>8</v>
      </c>
      <c r="CZ20">
        <v>15.13</v>
      </c>
      <c r="DA20">
        <v>2.34</v>
      </c>
      <c r="DB20">
        <v>22.81</v>
      </c>
      <c r="DC20">
        <v>18.59</v>
      </c>
      <c r="DD20">
        <v>19.75</v>
      </c>
      <c r="DE20">
        <v>14.25</v>
      </c>
    </row>
    <row r="21" spans="1:109" ht="12" customHeight="1" x14ac:dyDescent="0.2">
      <c r="A21" s="2" t="s">
        <v>87</v>
      </c>
      <c r="B21" s="2" t="s">
        <v>88</v>
      </c>
      <c r="C21" s="2" t="s">
        <v>58</v>
      </c>
      <c r="D21" s="2">
        <v>100</v>
      </c>
      <c r="E21" t="s">
        <v>89</v>
      </c>
      <c r="F21" t="s">
        <v>59</v>
      </c>
      <c r="G21">
        <v>2</v>
      </c>
      <c r="H21">
        <v>1.91</v>
      </c>
      <c r="I21">
        <v>9</v>
      </c>
      <c r="J21">
        <v>2</v>
      </c>
      <c r="K21">
        <v>22.22</v>
      </c>
      <c r="L21">
        <v>469</v>
      </c>
      <c r="M21">
        <v>342</v>
      </c>
      <c r="N21">
        <v>72.92</v>
      </c>
      <c r="O21">
        <v>54.72</v>
      </c>
      <c r="P21">
        <v>183</v>
      </c>
      <c r="Q21">
        <v>23</v>
      </c>
      <c r="R21">
        <v>70</v>
      </c>
      <c r="S21">
        <v>90</v>
      </c>
      <c r="T21">
        <v>101</v>
      </c>
      <c r="U21">
        <v>28</v>
      </c>
      <c r="V21">
        <v>59</v>
      </c>
      <c r="W21">
        <v>14</v>
      </c>
      <c r="X21">
        <v>214</v>
      </c>
      <c r="Y21">
        <v>110</v>
      </c>
      <c r="Z21">
        <v>51.4</v>
      </c>
      <c r="AA21">
        <v>2</v>
      </c>
      <c r="AB21">
        <v>0</v>
      </c>
      <c r="AC21">
        <v>0</v>
      </c>
      <c r="AD21">
        <v>38</v>
      </c>
      <c r="AE21">
        <v>3</v>
      </c>
      <c r="AF21">
        <v>7.89</v>
      </c>
      <c r="AG21">
        <v>0</v>
      </c>
      <c r="AH21">
        <v>0</v>
      </c>
      <c r="AI21">
        <v>0</v>
      </c>
      <c r="AJ21">
        <v>25</v>
      </c>
      <c r="AK21">
        <v>4</v>
      </c>
      <c r="AL21">
        <v>16</v>
      </c>
      <c r="AM21">
        <v>4</v>
      </c>
      <c r="AN21">
        <v>2</v>
      </c>
      <c r="AO21">
        <v>50</v>
      </c>
      <c r="AP21">
        <v>5</v>
      </c>
      <c r="AQ21">
        <v>2</v>
      </c>
      <c r="AR21">
        <v>40</v>
      </c>
      <c r="AS21">
        <v>1</v>
      </c>
      <c r="AT21">
        <v>0</v>
      </c>
      <c r="AU21">
        <v>0</v>
      </c>
      <c r="AV21">
        <v>13</v>
      </c>
      <c r="AW21">
        <v>3</v>
      </c>
      <c r="AX21">
        <v>23.08</v>
      </c>
      <c r="AY21">
        <v>4</v>
      </c>
      <c r="AZ21">
        <v>6</v>
      </c>
      <c r="BA21">
        <v>25</v>
      </c>
      <c r="BB21">
        <v>2</v>
      </c>
      <c r="BC21">
        <v>10</v>
      </c>
      <c r="BD21">
        <v>16</v>
      </c>
      <c r="BE21">
        <v>70</v>
      </c>
      <c r="BF21">
        <v>28</v>
      </c>
      <c r="BG21">
        <v>40</v>
      </c>
      <c r="BH21">
        <v>1</v>
      </c>
      <c r="BI21">
        <v>1</v>
      </c>
      <c r="BJ21">
        <v>5</v>
      </c>
      <c r="BK21">
        <v>1</v>
      </c>
      <c r="BL21">
        <v>20</v>
      </c>
      <c r="BM21">
        <v>75</v>
      </c>
      <c r="BN21">
        <v>51</v>
      </c>
      <c r="BO21">
        <v>68</v>
      </c>
      <c r="BP21">
        <v>40</v>
      </c>
      <c r="BQ21">
        <v>14</v>
      </c>
      <c r="BR21">
        <v>35</v>
      </c>
      <c r="BS21">
        <v>3</v>
      </c>
      <c r="BT21">
        <v>3</v>
      </c>
      <c r="BU21">
        <v>100</v>
      </c>
      <c r="BV21">
        <v>62</v>
      </c>
      <c r="BW21">
        <v>24</v>
      </c>
      <c r="BX21">
        <v>14</v>
      </c>
      <c r="BY21">
        <v>1</v>
      </c>
      <c r="BZ21">
        <v>0</v>
      </c>
      <c r="CA21">
        <v>183</v>
      </c>
      <c r="CB21">
        <v>107</v>
      </c>
      <c r="CC21">
        <v>58.47</v>
      </c>
      <c r="CD21">
        <v>78</v>
      </c>
      <c r="CE21">
        <v>75</v>
      </c>
      <c r="CF21">
        <v>96.15</v>
      </c>
      <c r="CG21">
        <v>138</v>
      </c>
      <c r="CH21">
        <v>105</v>
      </c>
      <c r="CI21">
        <v>76.09</v>
      </c>
      <c r="CJ21">
        <v>56</v>
      </c>
      <c r="CK21">
        <v>23</v>
      </c>
      <c r="CL21">
        <v>41.07</v>
      </c>
      <c r="CM21">
        <v>78</v>
      </c>
      <c r="CN21">
        <v>39</v>
      </c>
      <c r="CO21">
        <v>50</v>
      </c>
      <c r="CP21">
        <v>82</v>
      </c>
      <c r="CQ21">
        <v>48</v>
      </c>
      <c r="CR21">
        <v>58.54</v>
      </c>
      <c r="CS21">
        <v>0</v>
      </c>
      <c r="CT21">
        <v>0</v>
      </c>
      <c r="CU21">
        <v>0</v>
      </c>
      <c r="CV21">
        <v>35</v>
      </c>
      <c r="CW21">
        <v>27</v>
      </c>
      <c r="CX21">
        <v>77.14</v>
      </c>
      <c r="CY21">
        <v>6</v>
      </c>
      <c r="CZ21">
        <v>18.350000000000001</v>
      </c>
      <c r="DA21">
        <v>3.58</v>
      </c>
      <c r="DB21">
        <v>11.94</v>
      </c>
      <c r="DC21">
        <v>15.2</v>
      </c>
      <c r="DD21">
        <v>17.88</v>
      </c>
      <c r="DE21">
        <v>4.79</v>
      </c>
    </row>
    <row r="22" spans="1:109" ht="12" customHeight="1" x14ac:dyDescent="0.2">
      <c r="A22" s="2" t="s">
        <v>90</v>
      </c>
      <c r="B22" s="2" t="s">
        <v>91</v>
      </c>
      <c r="C22" s="2" t="s">
        <v>58</v>
      </c>
      <c r="D22" s="2">
        <v>101</v>
      </c>
      <c r="E22" t="s">
        <v>54</v>
      </c>
      <c r="F22" t="s">
        <v>92</v>
      </c>
      <c r="G22">
        <v>0</v>
      </c>
      <c r="H22">
        <v>0.71</v>
      </c>
      <c r="I22">
        <v>15</v>
      </c>
      <c r="J22">
        <v>1</v>
      </c>
      <c r="K22">
        <v>6.67</v>
      </c>
      <c r="L22">
        <v>464</v>
      </c>
      <c r="M22">
        <v>347</v>
      </c>
      <c r="N22">
        <v>74.78</v>
      </c>
      <c r="O22">
        <v>45</v>
      </c>
      <c r="P22">
        <v>155</v>
      </c>
      <c r="Q22">
        <v>13</v>
      </c>
      <c r="R22">
        <v>72</v>
      </c>
      <c r="S22">
        <v>70</v>
      </c>
      <c r="T22">
        <v>123</v>
      </c>
      <c r="U22">
        <v>37</v>
      </c>
      <c r="V22">
        <v>71</v>
      </c>
      <c r="W22">
        <v>15</v>
      </c>
      <c r="X22">
        <v>244</v>
      </c>
      <c r="Y22">
        <v>102</v>
      </c>
      <c r="Z22">
        <v>41.8</v>
      </c>
      <c r="AA22">
        <v>9</v>
      </c>
      <c r="AB22">
        <v>1</v>
      </c>
      <c r="AC22">
        <v>11.11</v>
      </c>
      <c r="AD22">
        <v>33</v>
      </c>
      <c r="AE22">
        <v>11</v>
      </c>
      <c r="AF22">
        <v>33.33</v>
      </c>
      <c r="AG22">
        <v>0</v>
      </c>
      <c r="AH22">
        <v>0</v>
      </c>
      <c r="AI22">
        <v>0</v>
      </c>
      <c r="AJ22">
        <v>16</v>
      </c>
      <c r="AK22">
        <v>3</v>
      </c>
      <c r="AL22">
        <v>18.75</v>
      </c>
      <c r="AM22">
        <v>2</v>
      </c>
      <c r="AN22">
        <v>1</v>
      </c>
      <c r="AO22">
        <v>50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21</v>
      </c>
      <c r="AW22">
        <v>6</v>
      </c>
      <c r="AX22">
        <v>28.57</v>
      </c>
      <c r="AY22">
        <v>5</v>
      </c>
      <c r="AZ22">
        <v>2</v>
      </c>
      <c r="BA22">
        <v>24</v>
      </c>
      <c r="BB22">
        <v>4</v>
      </c>
      <c r="BC22">
        <v>16</v>
      </c>
      <c r="BD22">
        <v>12</v>
      </c>
      <c r="BE22">
        <v>87</v>
      </c>
      <c r="BF22">
        <v>20</v>
      </c>
      <c r="BG22">
        <v>22.99</v>
      </c>
      <c r="BH22">
        <v>2</v>
      </c>
      <c r="BI22">
        <v>3</v>
      </c>
      <c r="BJ22">
        <v>17</v>
      </c>
      <c r="BK22">
        <v>6</v>
      </c>
      <c r="BL22">
        <v>35.29</v>
      </c>
      <c r="BM22">
        <v>79</v>
      </c>
      <c r="BN22">
        <v>46</v>
      </c>
      <c r="BO22">
        <v>58.23</v>
      </c>
      <c r="BP22">
        <v>43</v>
      </c>
      <c r="BQ22">
        <v>29</v>
      </c>
      <c r="BR22">
        <v>67.44</v>
      </c>
      <c r="BS22">
        <v>3</v>
      </c>
      <c r="BT22">
        <v>2</v>
      </c>
      <c r="BU22">
        <v>66.67</v>
      </c>
      <c r="BV22">
        <v>61</v>
      </c>
      <c r="BW22">
        <v>3</v>
      </c>
      <c r="BX22">
        <v>10</v>
      </c>
      <c r="BY22">
        <v>0</v>
      </c>
      <c r="BZ22">
        <v>0</v>
      </c>
      <c r="CA22">
        <v>179</v>
      </c>
      <c r="CB22">
        <v>111</v>
      </c>
      <c r="CC22">
        <v>62.01</v>
      </c>
      <c r="CD22">
        <v>56</v>
      </c>
      <c r="CE22">
        <v>53</v>
      </c>
      <c r="CF22">
        <v>94.64</v>
      </c>
      <c r="CG22">
        <v>162</v>
      </c>
      <c r="CH22">
        <v>134</v>
      </c>
      <c r="CI22">
        <v>82.72</v>
      </c>
      <c r="CJ22">
        <v>46</v>
      </c>
      <c r="CK22">
        <v>21</v>
      </c>
      <c r="CL22">
        <v>45.65</v>
      </c>
      <c r="CM22">
        <v>58</v>
      </c>
      <c r="CN22">
        <v>34</v>
      </c>
      <c r="CO22">
        <v>58.62</v>
      </c>
      <c r="CP22">
        <v>73</v>
      </c>
      <c r="CQ22">
        <v>47</v>
      </c>
      <c r="CR22">
        <v>64.38</v>
      </c>
      <c r="CS22">
        <v>0</v>
      </c>
      <c r="CT22">
        <v>0</v>
      </c>
      <c r="CU22">
        <v>0</v>
      </c>
      <c r="CV22">
        <v>27</v>
      </c>
      <c r="CW22">
        <v>21</v>
      </c>
      <c r="CX22">
        <v>77.78</v>
      </c>
      <c r="CY22">
        <v>9</v>
      </c>
      <c r="CZ22">
        <v>19.07</v>
      </c>
      <c r="DA22">
        <v>4.03</v>
      </c>
      <c r="DB22">
        <v>9.91</v>
      </c>
      <c r="DC22">
        <v>20.2</v>
      </c>
      <c r="DD22">
        <v>17.73</v>
      </c>
      <c r="DE22">
        <v>7.93</v>
      </c>
    </row>
    <row r="23" spans="1:109" ht="12" customHeight="1" x14ac:dyDescent="0.2">
      <c r="A23" s="2" t="s">
        <v>90</v>
      </c>
      <c r="B23" s="2" t="s">
        <v>91</v>
      </c>
      <c r="C23" s="2" t="s">
        <v>58</v>
      </c>
      <c r="D23" s="2">
        <v>101</v>
      </c>
      <c r="E23" t="s">
        <v>93</v>
      </c>
      <c r="F23" t="s">
        <v>76</v>
      </c>
      <c r="G23">
        <v>3</v>
      </c>
      <c r="H23">
        <v>2</v>
      </c>
      <c r="I23">
        <v>17</v>
      </c>
      <c r="J23">
        <v>6</v>
      </c>
      <c r="K23">
        <v>35.29</v>
      </c>
      <c r="L23">
        <v>497</v>
      </c>
      <c r="M23">
        <v>372</v>
      </c>
      <c r="N23">
        <v>74.849999999999994</v>
      </c>
      <c r="O23">
        <v>55</v>
      </c>
      <c r="P23">
        <v>169</v>
      </c>
      <c r="Q23">
        <v>33</v>
      </c>
      <c r="R23">
        <v>83</v>
      </c>
      <c r="S23">
        <v>53</v>
      </c>
      <c r="T23">
        <v>115</v>
      </c>
      <c r="U23">
        <v>40</v>
      </c>
      <c r="V23">
        <v>68</v>
      </c>
      <c r="W23">
        <v>7</v>
      </c>
      <c r="X23">
        <v>244</v>
      </c>
      <c r="Y23">
        <v>131</v>
      </c>
      <c r="Z23">
        <v>53.69</v>
      </c>
      <c r="AA23">
        <v>6</v>
      </c>
      <c r="AB23">
        <v>0</v>
      </c>
      <c r="AC23">
        <v>0</v>
      </c>
      <c r="AD23">
        <v>37</v>
      </c>
      <c r="AE23">
        <v>11</v>
      </c>
      <c r="AF23">
        <v>29.73</v>
      </c>
      <c r="AG23">
        <v>0</v>
      </c>
      <c r="AH23">
        <v>0</v>
      </c>
      <c r="AI23">
        <v>0</v>
      </c>
      <c r="AJ23">
        <v>30</v>
      </c>
      <c r="AK23">
        <v>6</v>
      </c>
      <c r="AL23">
        <v>20</v>
      </c>
      <c r="AM23">
        <v>9</v>
      </c>
      <c r="AN23">
        <v>4</v>
      </c>
      <c r="AO23">
        <v>44.44</v>
      </c>
      <c r="AP23">
        <v>1</v>
      </c>
      <c r="AQ23">
        <v>1</v>
      </c>
      <c r="AR23">
        <v>100</v>
      </c>
      <c r="AS23">
        <v>0</v>
      </c>
      <c r="AT23">
        <v>0</v>
      </c>
      <c r="AU23">
        <v>0</v>
      </c>
      <c r="AV23">
        <v>22</v>
      </c>
      <c r="AW23">
        <v>7</v>
      </c>
      <c r="AX23">
        <v>31.82</v>
      </c>
      <c r="AY23">
        <v>6</v>
      </c>
      <c r="AZ23">
        <v>11</v>
      </c>
      <c r="BA23">
        <v>23</v>
      </c>
      <c r="BB23">
        <v>4</v>
      </c>
      <c r="BC23">
        <v>10</v>
      </c>
      <c r="BD23">
        <v>27</v>
      </c>
      <c r="BE23">
        <v>79</v>
      </c>
      <c r="BF23">
        <v>33</v>
      </c>
      <c r="BG23">
        <v>41.77</v>
      </c>
      <c r="BH23">
        <v>0</v>
      </c>
      <c r="BI23">
        <v>0</v>
      </c>
      <c r="BJ23">
        <v>15</v>
      </c>
      <c r="BK23">
        <v>1</v>
      </c>
      <c r="BL23">
        <v>6.67</v>
      </c>
      <c r="BM23">
        <v>87</v>
      </c>
      <c r="BN23">
        <v>67</v>
      </c>
      <c r="BO23">
        <v>77.010000000000005</v>
      </c>
      <c r="BP23">
        <v>43</v>
      </c>
      <c r="BQ23">
        <v>9</v>
      </c>
      <c r="BR23">
        <v>20.93</v>
      </c>
      <c r="BS23">
        <v>10</v>
      </c>
      <c r="BT23">
        <v>10</v>
      </c>
      <c r="BU23">
        <v>100</v>
      </c>
      <c r="BV23">
        <v>52</v>
      </c>
      <c r="BW23">
        <v>17</v>
      </c>
      <c r="BX23">
        <v>5</v>
      </c>
      <c r="BY23">
        <v>0</v>
      </c>
      <c r="BZ23">
        <v>0</v>
      </c>
      <c r="CA23">
        <v>190</v>
      </c>
      <c r="CB23">
        <v>119</v>
      </c>
      <c r="CC23">
        <v>62.63</v>
      </c>
      <c r="CD23">
        <v>72</v>
      </c>
      <c r="CE23">
        <v>63</v>
      </c>
      <c r="CF23">
        <v>87.5</v>
      </c>
      <c r="CG23">
        <v>138</v>
      </c>
      <c r="CH23">
        <v>122</v>
      </c>
      <c r="CI23">
        <v>88.41</v>
      </c>
      <c r="CJ23">
        <v>48</v>
      </c>
      <c r="CK23">
        <v>25</v>
      </c>
      <c r="CL23">
        <v>52.08</v>
      </c>
      <c r="CM23">
        <v>50</v>
      </c>
      <c r="CN23">
        <v>31</v>
      </c>
      <c r="CO23">
        <v>62</v>
      </c>
      <c r="CP23">
        <v>98</v>
      </c>
      <c r="CQ23">
        <v>57</v>
      </c>
      <c r="CR23">
        <v>58.16</v>
      </c>
      <c r="CS23">
        <v>0</v>
      </c>
      <c r="CT23">
        <v>0</v>
      </c>
      <c r="CU23">
        <v>0</v>
      </c>
      <c r="CV23">
        <v>31</v>
      </c>
      <c r="CW23">
        <v>30</v>
      </c>
      <c r="CX23">
        <v>96.77</v>
      </c>
      <c r="CY23">
        <v>9</v>
      </c>
      <c r="CZ23">
        <v>16.72</v>
      </c>
      <c r="DA23">
        <v>3.94</v>
      </c>
      <c r="DB23">
        <v>9.66</v>
      </c>
      <c r="DC23">
        <v>16.21</v>
      </c>
      <c r="DD23">
        <v>16.78</v>
      </c>
      <c r="DE23">
        <v>8.82</v>
      </c>
    </row>
    <row r="24" spans="1:109" ht="12" customHeight="1" x14ac:dyDescent="0.2">
      <c r="A24" s="2" t="s">
        <v>94</v>
      </c>
      <c r="B24" s="2" t="s">
        <v>95</v>
      </c>
      <c r="C24" s="2" t="s">
        <v>58</v>
      </c>
      <c r="D24" s="2">
        <v>98</v>
      </c>
      <c r="E24" t="s">
        <v>54</v>
      </c>
      <c r="F24" t="s">
        <v>59</v>
      </c>
      <c r="G24">
        <v>2</v>
      </c>
      <c r="H24">
        <v>2.2799999999999998</v>
      </c>
      <c r="I24">
        <v>18</v>
      </c>
      <c r="J24">
        <v>6</v>
      </c>
      <c r="K24">
        <v>33.33</v>
      </c>
      <c r="L24">
        <v>456</v>
      </c>
      <c r="M24">
        <v>358</v>
      </c>
      <c r="N24">
        <v>78.510000000000005</v>
      </c>
      <c r="O24">
        <v>63.32</v>
      </c>
      <c r="P24">
        <v>128</v>
      </c>
      <c r="Q24">
        <v>20</v>
      </c>
      <c r="R24">
        <v>39</v>
      </c>
      <c r="S24">
        <v>69</v>
      </c>
      <c r="T24">
        <v>88</v>
      </c>
      <c r="U24">
        <v>26</v>
      </c>
      <c r="V24">
        <v>28</v>
      </c>
      <c r="W24">
        <v>34</v>
      </c>
      <c r="X24">
        <v>233</v>
      </c>
      <c r="Y24">
        <v>129</v>
      </c>
      <c r="Z24">
        <v>55.36</v>
      </c>
      <c r="AA24">
        <v>7</v>
      </c>
      <c r="AB24">
        <v>3</v>
      </c>
      <c r="AC24">
        <v>42.86</v>
      </c>
      <c r="AD24">
        <v>44</v>
      </c>
      <c r="AE24">
        <v>13</v>
      </c>
      <c r="AF24">
        <v>29.55</v>
      </c>
      <c r="AG24">
        <v>0</v>
      </c>
      <c r="AH24">
        <v>0</v>
      </c>
      <c r="AI24">
        <v>0</v>
      </c>
      <c r="AJ24">
        <v>31</v>
      </c>
      <c r="AK24">
        <v>5</v>
      </c>
      <c r="AL24">
        <v>16.13</v>
      </c>
      <c r="AM24">
        <v>8</v>
      </c>
      <c r="AN24">
        <v>3</v>
      </c>
      <c r="AO24">
        <v>37.5</v>
      </c>
      <c r="AP24">
        <v>3</v>
      </c>
      <c r="AQ24">
        <v>1</v>
      </c>
      <c r="AR24">
        <v>33.33</v>
      </c>
      <c r="AS24">
        <v>0</v>
      </c>
      <c r="AT24">
        <v>0</v>
      </c>
      <c r="AU24">
        <v>0</v>
      </c>
      <c r="AV24">
        <v>40</v>
      </c>
      <c r="AW24">
        <v>13</v>
      </c>
      <c r="AX24">
        <v>32.5</v>
      </c>
      <c r="AY24">
        <v>11</v>
      </c>
      <c r="AZ24">
        <v>11</v>
      </c>
      <c r="BA24">
        <v>42</v>
      </c>
      <c r="BB24">
        <v>7</v>
      </c>
      <c r="BC24">
        <v>26</v>
      </c>
      <c r="BD24">
        <v>31</v>
      </c>
      <c r="BE24">
        <v>101</v>
      </c>
      <c r="BF24">
        <v>40</v>
      </c>
      <c r="BG24">
        <v>39.6</v>
      </c>
      <c r="BH24">
        <v>0</v>
      </c>
      <c r="BI24">
        <v>1</v>
      </c>
      <c r="BJ24">
        <v>10</v>
      </c>
      <c r="BK24">
        <v>2</v>
      </c>
      <c r="BL24">
        <v>20</v>
      </c>
      <c r="BM24">
        <v>79</v>
      </c>
      <c r="BN24">
        <v>62</v>
      </c>
      <c r="BO24">
        <v>78.48</v>
      </c>
      <c r="BP24">
        <v>26</v>
      </c>
      <c r="BQ24">
        <v>16</v>
      </c>
      <c r="BR24">
        <v>61.54</v>
      </c>
      <c r="BS24">
        <v>1</v>
      </c>
      <c r="BT24">
        <v>1</v>
      </c>
      <c r="BU24">
        <v>100</v>
      </c>
      <c r="BV24">
        <v>40</v>
      </c>
      <c r="BW24">
        <v>8</v>
      </c>
      <c r="BX24">
        <v>9</v>
      </c>
      <c r="BY24">
        <v>0</v>
      </c>
      <c r="BZ24">
        <v>0</v>
      </c>
      <c r="CA24">
        <v>138</v>
      </c>
      <c r="CB24">
        <v>99</v>
      </c>
      <c r="CC24">
        <v>71.739999999999995</v>
      </c>
      <c r="CD24">
        <v>81</v>
      </c>
      <c r="CE24">
        <v>75</v>
      </c>
      <c r="CF24">
        <v>92.59</v>
      </c>
      <c r="CG24">
        <v>166</v>
      </c>
      <c r="CH24">
        <v>137</v>
      </c>
      <c r="CI24">
        <v>82.53</v>
      </c>
      <c r="CJ24">
        <v>38</v>
      </c>
      <c r="CK24">
        <v>20</v>
      </c>
      <c r="CL24">
        <v>52.63</v>
      </c>
      <c r="CM24">
        <v>59</v>
      </c>
      <c r="CN24">
        <v>39</v>
      </c>
      <c r="CO24">
        <v>66.099999999999994</v>
      </c>
      <c r="CP24">
        <v>77</v>
      </c>
      <c r="CQ24">
        <v>54</v>
      </c>
      <c r="CR24">
        <v>70.13</v>
      </c>
      <c r="CS24">
        <v>0</v>
      </c>
      <c r="CT24">
        <v>0</v>
      </c>
      <c r="CU24">
        <v>0</v>
      </c>
      <c r="CV24">
        <v>36</v>
      </c>
      <c r="CW24">
        <v>28</v>
      </c>
      <c r="CX24">
        <v>77.78</v>
      </c>
      <c r="CY24">
        <v>10</v>
      </c>
      <c r="CZ24">
        <v>15.87</v>
      </c>
      <c r="DA24">
        <v>3.59</v>
      </c>
      <c r="DB24">
        <v>8.33</v>
      </c>
      <c r="DC24">
        <v>16.96</v>
      </c>
      <c r="DD24">
        <v>18.96</v>
      </c>
      <c r="DE24">
        <v>5.1100000000000003</v>
      </c>
    </row>
    <row r="25" spans="1:109" ht="12" customHeight="1" x14ac:dyDescent="0.2">
      <c r="A25" s="2" t="s">
        <v>94</v>
      </c>
      <c r="B25" s="2" t="s">
        <v>95</v>
      </c>
      <c r="C25" s="2" t="s">
        <v>58</v>
      </c>
      <c r="D25" s="2">
        <v>98</v>
      </c>
      <c r="E25" t="s">
        <v>96</v>
      </c>
      <c r="F25" t="s">
        <v>97</v>
      </c>
      <c r="G25">
        <v>1</v>
      </c>
      <c r="H25">
        <v>0.65</v>
      </c>
      <c r="I25">
        <v>10</v>
      </c>
      <c r="J25">
        <v>2</v>
      </c>
      <c r="K25">
        <v>20</v>
      </c>
      <c r="L25">
        <v>245</v>
      </c>
      <c r="M25">
        <v>157</v>
      </c>
      <c r="N25">
        <v>64.08</v>
      </c>
      <c r="O25">
        <v>36.68</v>
      </c>
      <c r="P25">
        <v>133</v>
      </c>
      <c r="Q25">
        <v>41</v>
      </c>
      <c r="R25">
        <v>40</v>
      </c>
      <c r="S25">
        <v>52</v>
      </c>
      <c r="T25">
        <v>78</v>
      </c>
      <c r="U25">
        <v>41</v>
      </c>
      <c r="V25">
        <v>27</v>
      </c>
      <c r="W25">
        <v>10</v>
      </c>
      <c r="X25">
        <v>233</v>
      </c>
      <c r="Y25">
        <v>94</v>
      </c>
      <c r="Z25">
        <v>40.340000000000003</v>
      </c>
      <c r="AA25">
        <v>7</v>
      </c>
      <c r="AB25">
        <v>1</v>
      </c>
      <c r="AC25">
        <v>14.29</v>
      </c>
      <c r="AD25">
        <v>27</v>
      </c>
      <c r="AE25">
        <v>7</v>
      </c>
      <c r="AF25">
        <v>25.93</v>
      </c>
      <c r="AG25">
        <v>0</v>
      </c>
      <c r="AH25">
        <v>0</v>
      </c>
      <c r="AI25">
        <v>0</v>
      </c>
      <c r="AJ25">
        <v>25</v>
      </c>
      <c r="AK25">
        <v>2</v>
      </c>
      <c r="AL25">
        <v>8</v>
      </c>
      <c r="AM25">
        <v>2</v>
      </c>
      <c r="AN25">
        <v>1</v>
      </c>
      <c r="AO25">
        <v>50</v>
      </c>
      <c r="AP25">
        <v>5</v>
      </c>
      <c r="AQ25">
        <v>1</v>
      </c>
      <c r="AR25">
        <v>20</v>
      </c>
      <c r="AS25">
        <v>0</v>
      </c>
      <c r="AT25">
        <v>0</v>
      </c>
      <c r="AU25">
        <v>0</v>
      </c>
      <c r="AV25">
        <v>8</v>
      </c>
      <c r="AW25">
        <v>1</v>
      </c>
      <c r="AX25">
        <v>12.5</v>
      </c>
      <c r="AY25">
        <v>3</v>
      </c>
      <c r="AZ25">
        <v>2</v>
      </c>
      <c r="BA25">
        <v>11</v>
      </c>
      <c r="BB25">
        <v>3</v>
      </c>
      <c r="BC25">
        <v>6</v>
      </c>
      <c r="BD25">
        <v>11</v>
      </c>
      <c r="BE25">
        <v>79</v>
      </c>
      <c r="BF25">
        <v>17</v>
      </c>
      <c r="BG25">
        <v>21.52</v>
      </c>
      <c r="BH25">
        <v>1</v>
      </c>
      <c r="BI25">
        <v>2</v>
      </c>
      <c r="BJ25">
        <v>18</v>
      </c>
      <c r="BK25">
        <v>6</v>
      </c>
      <c r="BL25">
        <v>33.33</v>
      </c>
      <c r="BM25">
        <v>101</v>
      </c>
      <c r="BN25">
        <v>61</v>
      </c>
      <c r="BO25">
        <v>60.4</v>
      </c>
      <c r="BP25">
        <v>26</v>
      </c>
      <c r="BQ25">
        <v>7</v>
      </c>
      <c r="BR25">
        <v>26.92</v>
      </c>
      <c r="BS25">
        <v>3</v>
      </c>
      <c r="BT25">
        <v>1</v>
      </c>
      <c r="BU25">
        <v>33.33</v>
      </c>
      <c r="BV25">
        <v>67</v>
      </c>
      <c r="BW25">
        <v>24</v>
      </c>
      <c r="BX25">
        <v>13</v>
      </c>
      <c r="BY25">
        <v>2</v>
      </c>
      <c r="BZ25">
        <v>0</v>
      </c>
      <c r="CA25">
        <v>111</v>
      </c>
      <c r="CB25">
        <v>64</v>
      </c>
      <c r="CC25">
        <v>57.66</v>
      </c>
      <c r="CD25">
        <v>33</v>
      </c>
      <c r="CE25">
        <v>30</v>
      </c>
      <c r="CF25">
        <v>90.91</v>
      </c>
      <c r="CG25">
        <v>63</v>
      </c>
      <c r="CH25">
        <v>44</v>
      </c>
      <c r="CI25">
        <v>69.84</v>
      </c>
      <c r="CJ25">
        <v>38</v>
      </c>
      <c r="CK25">
        <v>18</v>
      </c>
      <c r="CL25">
        <v>47.37</v>
      </c>
      <c r="CM25">
        <v>34</v>
      </c>
      <c r="CN25">
        <v>21</v>
      </c>
      <c r="CO25">
        <v>61.76</v>
      </c>
      <c r="CP25">
        <v>77</v>
      </c>
      <c r="CQ25">
        <v>36</v>
      </c>
      <c r="CR25">
        <v>46.75</v>
      </c>
      <c r="CS25">
        <v>0</v>
      </c>
      <c r="CT25">
        <v>0</v>
      </c>
      <c r="CU25">
        <v>0</v>
      </c>
      <c r="CV25">
        <v>32</v>
      </c>
      <c r="CW25">
        <v>29</v>
      </c>
      <c r="CX25">
        <v>90.63</v>
      </c>
      <c r="CY25">
        <v>15</v>
      </c>
      <c r="CZ25">
        <v>14.72</v>
      </c>
      <c r="DA25">
        <v>2.06</v>
      </c>
      <c r="DB25">
        <v>15.51</v>
      </c>
      <c r="DC25">
        <v>22.42</v>
      </c>
      <c r="DD25">
        <v>19</v>
      </c>
      <c r="DE25">
        <v>8.6199999999999992</v>
      </c>
    </row>
    <row r="26" spans="1:109" ht="12" customHeight="1" x14ac:dyDescent="0.2">
      <c r="A26" s="2" t="s">
        <v>98</v>
      </c>
      <c r="B26" s="2" t="s">
        <v>99</v>
      </c>
      <c r="C26" s="2" t="s">
        <v>58</v>
      </c>
      <c r="D26" s="2">
        <v>97</v>
      </c>
      <c r="E26" t="s">
        <v>54</v>
      </c>
      <c r="F26" t="s">
        <v>76</v>
      </c>
      <c r="G26">
        <v>2</v>
      </c>
      <c r="H26">
        <v>3.94</v>
      </c>
      <c r="I26">
        <v>20</v>
      </c>
      <c r="J26">
        <v>6</v>
      </c>
      <c r="K26">
        <v>30</v>
      </c>
      <c r="L26">
        <v>376</v>
      </c>
      <c r="M26">
        <v>291</v>
      </c>
      <c r="N26">
        <v>77.39</v>
      </c>
      <c r="O26">
        <v>53.82</v>
      </c>
      <c r="P26">
        <v>117</v>
      </c>
      <c r="Q26">
        <v>13</v>
      </c>
      <c r="R26">
        <v>42</v>
      </c>
      <c r="S26">
        <v>62</v>
      </c>
      <c r="T26">
        <v>80</v>
      </c>
      <c r="U26">
        <v>30</v>
      </c>
      <c r="V26">
        <v>35</v>
      </c>
      <c r="W26">
        <v>15</v>
      </c>
      <c r="X26">
        <v>189</v>
      </c>
      <c r="Y26">
        <v>102</v>
      </c>
      <c r="Z26">
        <v>53.97</v>
      </c>
      <c r="AA26">
        <v>6</v>
      </c>
      <c r="AB26">
        <v>0</v>
      </c>
      <c r="AC26">
        <v>0</v>
      </c>
      <c r="AD26">
        <v>40</v>
      </c>
      <c r="AE26">
        <v>15</v>
      </c>
      <c r="AF26">
        <v>37.5</v>
      </c>
      <c r="AG26">
        <v>0</v>
      </c>
      <c r="AH26">
        <v>0</v>
      </c>
      <c r="AI26">
        <v>0</v>
      </c>
      <c r="AJ26">
        <v>29</v>
      </c>
      <c r="AK26">
        <v>4</v>
      </c>
      <c r="AL26">
        <v>13.79</v>
      </c>
      <c r="AM26">
        <v>11</v>
      </c>
      <c r="AN26">
        <v>3</v>
      </c>
      <c r="AO26">
        <v>27.27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24</v>
      </c>
      <c r="AW26">
        <v>5</v>
      </c>
      <c r="AX26">
        <v>20.83</v>
      </c>
      <c r="AY26">
        <v>6</v>
      </c>
      <c r="AZ26">
        <v>17</v>
      </c>
      <c r="BA26">
        <v>31</v>
      </c>
      <c r="BB26">
        <v>7</v>
      </c>
      <c r="BC26">
        <v>9</v>
      </c>
      <c r="BD26">
        <v>36</v>
      </c>
      <c r="BE26">
        <v>76</v>
      </c>
      <c r="BF26">
        <v>31</v>
      </c>
      <c r="BG26">
        <v>40.79</v>
      </c>
      <c r="BH26">
        <v>4</v>
      </c>
      <c r="BI26">
        <v>0</v>
      </c>
      <c r="BJ26">
        <v>13</v>
      </c>
      <c r="BK26">
        <v>6</v>
      </c>
      <c r="BL26">
        <v>46.15</v>
      </c>
      <c r="BM26">
        <v>67</v>
      </c>
      <c r="BN26">
        <v>41</v>
      </c>
      <c r="BO26">
        <v>61.19</v>
      </c>
      <c r="BP26">
        <v>26</v>
      </c>
      <c r="BQ26">
        <v>17</v>
      </c>
      <c r="BR26">
        <v>65.38</v>
      </c>
      <c r="BS26">
        <v>0</v>
      </c>
      <c r="BT26">
        <v>0</v>
      </c>
      <c r="BU26">
        <v>0</v>
      </c>
      <c r="BV26">
        <v>29</v>
      </c>
      <c r="BW26">
        <v>13</v>
      </c>
      <c r="BX26">
        <v>6</v>
      </c>
      <c r="BY26">
        <v>2</v>
      </c>
      <c r="BZ26">
        <v>0</v>
      </c>
      <c r="CA26">
        <v>155</v>
      </c>
      <c r="CB26">
        <v>113</v>
      </c>
      <c r="CC26">
        <v>72.900000000000006</v>
      </c>
      <c r="CD26">
        <v>49</v>
      </c>
      <c r="CE26">
        <v>43</v>
      </c>
      <c r="CF26">
        <v>87.76</v>
      </c>
      <c r="CG26">
        <v>123</v>
      </c>
      <c r="CH26">
        <v>102</v>
      </c>
      <c r="CI26">
        <v>82.93</v>
      </c>
      <c r="CJ26">
        <v>52</v>
      </c>
      <c r="CK26">
        <v>30</v>
      </c>
      <c r="CL26">
        <v>57.69</v>
      </c>
      <c r="CM26">
        <v>50</v>
      </c>
      <c r="CN26">
        <v>29</v>
      </c>
      <c r="CO26">
        <v>58</v>
      </c>
      <c r="CP26">
        <v>82</v>
      </c>
      <c r="CQ26">
        <v>56</v>
      </c>
      <c r="CR26">
        <v>68.290000000000006</v>
      </c>
      <c r="CS26">
        <v>0</v>
      </c>
      <c r="CT26">
        <v>0</v>
      </c>
      <c r="CU26">
        <v>0</v>
      </c>
      <c r="CV26">
        <v>19</v>
      </c>
      <c r="CW26">
        <v>17</v>
      </c>
      <c r="CX26">
        <v>89.47</v>
      </c>
      <c r="CY26">
        <v>5</v>
      </c>
      <c r="CZ26">
        <v>15.64</v>
      </c>
      <c r="DA26">
        <v>3.11</v>
      </c>
      <c r="DB26">
        <v>13.83</v>
      </c>
      <c r="DC26">
        <v>17.32</v>
      </c>
      <c r="DD26">
        <v>20.63</v>
      </c>
      <c r="DE26">
        <v>10.15</v>
      </c>
    </row>
    <row r="27" spans="1:109" ht="12" customHeight="1" x14ac:dyDescent="0.2">
      <c r="A27" s="2" t="s">
        <v>98</v>
      </c>
      <c r="B27" s="2" t="s">
        <v>99</v>
      </c>
      <c r="C27" s="2" t="s">
        <v>58</v>
      </c>
      <c r="D27" s="2">
        <v>97</v>
      </c>
      <c r="E27" t="s">
        <v>100</v>
      </c>
      <c r="F27" t="s">
        <v>101</v>
      </c>
      <c r="G27">
        <v>0</v>
      </c>
      <c r="H27">
        <v>1.63</v>
      </c>
      <c r="I27">
        <v>13</v>
      </c>
      <c r="J27">
        <v>6</v>
      </c>
      <c r="K27">
        <v>46.15</v>
      </c>
      <c r="L27">
        <v>348</v>
      </c>
      <c r="M27">
        <v>266</v>
      </c>
      <c r="N27">
        <v>76.44</v>
      </c>
      <c r="O27">
        <v>46.18</v>
      </c>
      <c r="P27">
        <v>112</v>
      </c>
      <c r="Q27">
        <v>22</v>
      </c>
      <c r="R27">
        <v>46</v>
      </c>
      <c r="S27">
        <v>44</v>
      </c>
      <c r="T27">
        <v>79</v>
      </c>
      <c r="U27">
        <v>38</v>
      </c>
      <c r="V27">
        <v>32</v>
      </c>
      <c r="W27">
        <v>9</v>
      </c>
      <c r="X27">
        <v>189</v>
      </c>
      <c r="Y27">
        <v>79</v>
      </c>
      <c r="Z27">
        <v>41.8</v>
      </c>
      <c r="AA27">
        <v>6</v>
      </c>
      <c r="AB27">
        <v>1</v>
      </c>
      <c r="AC27">
        <v>16.670000000000002</v>
      </c>
      <c r="AD27">
        <v>19</v>
      </c>
      <c r="AE27">
        <v>9</v>
      </c>
      <c r="AF27">
        <v>47.37</v>
      </c>
      <c r="AG27">
        <v>1</v>
      </c>
      <c r="AH27">
        <v>1</v>
      </c>
      <c r="AI27">
        <v>100</v>
      </c>
      <c r="AJ27">
        <v>27</v>
      </c>
      <c r="AK27">
        <v>2</v>
      </c>
      <c r="AL27">
        <v>7.41</v>
      </c>
      <c r="AM27">
        <v>5</v>
      </c>
      <c r="AN27">
        <v>1</v>
      </c>
      <c r="AO27">
        <v>20</v>
      </c>
      <c r="AP27">
        <v>4</v>
      </c>
      <c r="AQ27">
        <v>1</v>
      </c>
      <c r="AR27">
        <v>25</v>
      </c>
      <c r="AS27">
        <v>0</v>
      </c>
      <c r="AT27">
        <v>0</v>
      </c>
      <c r="AU27">
        <v>0</v>
      </c>
      <c r="AV27">
        <v>11</v>
      </c>
      <c r="AW27">
        <v>6</v>
      </c>
      <c r="AX27">
        <v>54.55</v>
      </c>
      <c r="AY27">
        <v>6</v>
      </c>
      <c r="AZ27">
        <v>4</v>
      </c>
      <c r="BA27">
        <v>26</v>
      </c>
      <c r="BB27">
        <v>4</v>
      </c>
      <c r="BC27">
        <v>8</v>
      </c>
      <c r="BD27">
        <v>12</v>
      </c>
      <c r="BE27">
        <v>67</v>
      </c>
      <c r="BF27">
        <v>26</v>
      </c>
      <c r="BG27">
        <v>38.81</v>
      </c>
      <c r="BH27">
        <v>0</v>
      </c>
      <c r="BI27">
        <v>2</v>
      </c>
      <c r="BJ27">
        <v>20</v>
      </c>
      <c r="BK27">
        <v>7</v>
      </c>
      <c r="BL27">
        <v>35</v>
      </c>
      <c r="BM27">
        <v>76</v>
      </c>
      <c r="BN27">
        <v>45</v>
      </c>
      <c r="BO27">
        <v>59.21</v>
      </c>
      <c r="BP27">
        <v>26</v>
      </c>
      <c r="BQ27">
        <v>6</v>
      </c>
      <c r="BR27">
        <v>23.08</v>
      </c>
      <c r="BS27">
        <v>1</v>
      </c>
      <c r="BT27">
        <v>1</v>
      </c>
      <c r="BU27">
        <v>100</v>
      </c>
      <c r="BV27">
        <v>48</v>
      </c>
      <c r="BW27">
        <v>9</v>
      </c>
      <c r="BX27">
        <v>13</v>
      </c>
      <c r="BY27">
        <v>1</v>
      </c>
      <c r="BZ27">
        <v>0</v>
      </c>
      <c r="CA27">
        <v>139</v>
      </c>
      <c r="CB27">
        <v>93</v>
      </c>
      <c r="CC27">
        <v>66.91</v>
      </c>
      <c r="CD27">
        <v>36</v>
      </c>
      <c r="CE27">
        <v>35</v>
      </c>
      <c r="CF27">
        <v>97.22</v>
      </c>
      <c r="CG27">
        <v>125</v>
      </c>
      <c r="CH27">
        <v>106</v>
      </c>
      <c r="CI27">
        <v>84.8</v>
      </c>
      <c r="CJ27">
        <v>52</v>
      </c>
      <c r="CK27">
        <v>20</v>
      </c>
      <c r="CL27">
        <v>38.46</v>
      </c>
      <c r="CM27">
        <v>49</v>
      </c>
      <c r="CN27">
        <v>29</v>
      </c>
      <c r="CO27">
        <v>59.18</v>
      </c>
      <c r="CP27">
        <v>76</v>
      </c>
      <c r="CQ27">
        <v>47</v>
      </c>
      <c r="CR27">
        <v>61.84</v>
      </c>
      <c r="CS27">
        <v>0</v>
      </c>
      <c r="CT27">
        <v>0</v>
      </c>
      <c r="CU27">
        <v>0</v>
      </c>
      <c r="CV27">
        <v>17</v>
      </c>
      <c r="CW27">
        <v>9</v>
      </c>
      <c r="CX27">
        <v>52.94</v>
      </c>
      <c r="CY27">
        <v>17</v>
      </c>
      <c r="CZ27">
        <v>16.86</v>
      </c>
      <c r="DA27">
        <v>3.16</v>
      </c>
      <c r="DB27">
        <v>14.94</v>
      </c>
      <c r="DC27">
        <v>19.37</v>
      </c>
      <c r="DD27">
        <v>20.059999999999999</v>
      </c>
      <c r="DE27">
        <v>10.039999999999999</v>
      </c>
    </row>
    <row r="28" spans="1:109" ht="12" customHeight="1" x14ac:dyDescent="0.2">
      <c r="A28" s="2" t="s">
        <v>102</v>
      </c>
      <c r="B28" s="2" t="s">
        <v>103</v>
      </c>
      <c r="C28" s="2" t="s">
        <v>58</v>
      </c>
      <c r="D28" s="2">
        <v>100</v>
      </c>
      <c r="E28" t="s">
        <v>54</v>
      </c>
      <c r="F28" t="s">
        <v>97</v>
      </c>
      <c r="G28">
        <v>2</v>
      </c>
      <c r="H28">
        <v>1.5</v>
      </c>
      <c r="I28">
        <v>13</v>
      </c>
      <c r="J28">
        <v>7</v>
      </c>
      <c r="K28">
        <v>53.85</v>
      </c>
      <c r="L28">
        <v>410</v>
      </c>
      <c r="M28">
        <v>309</v>
      </c>
      <c r="N28">
        <v>75.37</v>
      </c>
      <c r="O28">
        <v>47.88</v>
      </c>
      <c r="P28">
        <v>130</v>
      </c>
      <c r="Q28">
        <v>33</v>
      </c>
      <c r="R28">
        <v>50</v>
      </c>
      <c r="S28">
        <v>47</v>
      </c>
      <c r="T28">
        <v>96</v>
      </c>
      <c r="U28">
        <v>58</v>
      </c>
      <c r="V28">
        <v>33</v>
      </c>
      <c r="W28">
        <v>5</v>
      </c>
      <c r="X28">
        <v>200</v>
      </c>
      <c r="Y28">
        <v>106</v>
      </c>
      <c r="Z28">
        <v>53</v>
      </c>
      <c r="AA28">
        <v>6</v>
      </c>
      <c r="AB28">
        <v>2</v>
      </c>
      <c r="AC28">
        <v>33.33</v>
      </c>
      <c r="AD28">
        <v>25</v>
      </c>
      <c r="AE28">
        <v>7</v>
      </c>
      <c r="AF28">
        <v>28</v>
      </c>
      <c r="AG28">
        <v>0</v>
      </c>
      <c r="AH28">
        <v>0</v>
      </c>
      <c r="AI28">
        <v>0</v>
      </c>
      <c r="AJ28">
        <v>26</v>
      </c>
      <c r="AK28">
        <v>5</v>
      </c>
      <c r="AL28">
        <v>19.23</v>
      </c>
      <c r="AM28">
        <v>5</v>
      </c>
      <c r="AN28">
        <v>3</v>
      </c>
      <c r="AO28">
        <v>60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8</v>
      </c>
      <c r="AW28">
        <v>3</v>
      </c>
      <c r="AX28">
        <v>37.5</v>
      </c>
      <c r="AY28">
        <v>3</v>
      </c>
      <c r="AZ28">
        <v>7</v>
      </c>
      <c r="BA28">
        <v>17</v>
      </c>
      <c r="BB28">
        <v>2</v>
      </c>
      <c r="BC28">
        <v>6</v>
      </c>
      <c r="BD28">
        <v>16</v>
      </c>
      <c r="BE28">
        <v>76</v>
      </c>
      <c r="BF28">
        <v>23</v>
      </c>
      <c r="BG28">
        <v>30.26</v>
      </c>
      <c r="BH28">
        <v>0</v>
      </c>
      <c r="BI28">
        <v>3</v>
      </c>
      <c r="BJ28">
        <v>13</v>
      </c>
      <c r="BK28">
        <v>5</v>
      </c>
      <c r="BL28">
        <v>38.46</v>
      </c>
      <c r="BM28">
        <v>74</v>
      </c>
      <c r="BN28">
        <v>51</v>
      </c>
      <c r="BO28">
        <v>68.92</v>
      </c>
      <c r="BP28">
        <v>22</v>
      </c>
      <c r="BQ28">
        <v>16</v>
      </c>
      <c r="BR28">
        <v>72.73</v>
      </c>
      <c r="BS28">
        <v>2</v>
      </c>
      <c r="BT28">
        <v>2</v>
      </c>
      <c r="BU28">
        <v>100</v>
      </c>
      <c r="BV28">
        <v>40</v>
      </c>
      <c r="BW28">
        <v>16</v>
      </c>
      <c r="BX28">
        <v>12</v>
      </c>
      <c r="BY28">
        <v>3</v>
      </c>
      <c r="BZ28">
        <v>0</v>
      </c>
      <c r="CA28">
        <v>167</v>
      </c>
      <c r="CB28">
        <v>107</v>
      </c>
      <c r="CC28">
        <v>64.069999999999993</v>
      </c>
      <c r="CD28">
        <v>50</v>
      </c>
      <c r="CE28">
        <v>40</v>
      </c>
      <c r="CF28">
        <v>80</v>
      </c>
      <c r="CG28">
        <v>138</v>
      </c>
      <c r="CH28">
        <v>121</v>
      </c>
      <c r="CI28">
        <v>87.68</v>
      </c>
      <c r="CJ28">
        <v>37</v>
      </c>
      <c r="CK28">
        <v>16</v>
      </c>
      <c r="CL28">
        <v>43.24</v>
      </c>
      <c r="CM28">
        <v>40</v>
      </c>
      <c r="CN28">
        <v>16</v>
      </c>
      <c r="CO28">
        <v>40</v>
      </c>
      <c r="CP28">
        <v>76</v>
      </c>
      <c r="CQ28">
        <v>34</v>
      </c>
      <c r="CR28">
        <v>44.74</v>
      </c>
      <c r="CS28">
        <v>1</v>
      </c>
      <c r="CT28">
        <v>1</v>
      </c>
      <c r="CU28">
        <v>100</v>
      </c>
      <c r="CV28">
        <v>33</v>
      </c>
      <c r="CW28">
        <v>28</v>
      </c>
      <c r="CX28">
        <v>84.85</v>
      </c>
      <c r="CY28">
        <v>10</v>
      </c>
      <c r="CZ28">
        <v>16.41</v>
      </c>
      <c r="DA28">
        <v>3.36</v>
      </c>
      <c r="DB28">
        <v>9.02</v>
      </c>
      <c r="DC28">
        <v>18.309999999999999</v>
      </c>
      <c r="DD28">
        <v>17.41</v>
      </c>
      <c r="DE28">
        <v>11.11</v>
      </c>
    </row>
    <row r="29" spans="1:109" ht="12" customHeight="1" x14ac:dyDescent="0.2">
      <c r="A29" s="2" t="s">
        <v>102</v>
      </c>
      <c r="B29" s="2" t="s">
        <v>103</v>
      </c>
      <c r="C29" s="2" t="s">
        <v>58</v>
      </c>
      <c r="D29" s="2">
        <v>100</v>
      </c>
      <c r="E29" t="s">
        <v>104</v>
      </c>
      <c r="F29" t="s">
        <v>59</v>
      </c>
      <c r="G29">
        <v>3</v>
      </c>
      <c r="H29">
        <v>1.2</v>
      </c>
      <c r="I29">
        <v>13</v>
      </c>
      <c r="J29">
        <v>5</v>
      </c>
      <c r="K29">
        <v>38.46</v>
      </c>
      <c r="L29">
        <v>446</v>
      </c>
      <c r="M29">
        <v>349</v>
      </c>
      <c r="N29">
        <v>78.25</v>
      </c>
      <c r="O29">
        <v>52.12</v>
      </c>
      <c r="P29">
        <v>126</v>
      </c>
      <c r="Q29">
        <v>15</v>
      </c>
      <c r="R29">
        <v>38</v>
      </c>
      <c r="S29">
        <v>73</v>
      </c>
      <c r="T29">
        <v>99</v>
      </c>
      <c r="U29">
        <v>37</v>
      </c>
      <c r="V29">
        <v>34</v>
      </c>
      <c r="W29">
        <v>28</v>
      </c>
      <c r="X29">
        <v>200</v>
      </c>
      <c r="Y29">
        <v>90</v>
      </c>
      <c r="Z29">
        <v>45</v>
      </c>
      <c r="AA29">
        <v>7</v>
      </c>
      <c r="AB29">
        <v>3</v>
      </c>
      <c r="AC29">
        <v>42.86</v>
      </c>
      <c r="AD29">
        <v>41</v>
      </c>
      <c r="AE29">
        <v>10</v>
      </c>
      <c r="AF29">
        <v>24.39</v>
      </c>
      <c r="AG29">
        <v>0</v>
      </c>
      <c r="AH29">
        <v>0</v>
      </c>
      <c r="AI29">
        <v>0</v>
      </c>
      <c r="AJ29">
        <v>16</v>
      </c>
      <c r="AK29">
        <v>2</v>
      </c>
      <c r="AL29">
        <v>12.5</v>
      </c>
      <c r="AM29">
        <v>4</v>
      </c>
      <c r="AN29">
        <v>2</v>
      </c>
      <c r="AO29">
        <v>50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20</v>
      </c>
      <c r="AW29">
        <v>7</v>
      </c>
      <c r="AX29">
        <v>35</v>
      </c>
      <c r="AY29">
        <v>7</v>
      </c>
      <c r="AZ29">
        <v>4</v>
      </c>
      <c r="BA29">
        <v>28</v>
      </c>
      <c r="BB29">
        <v>3</v>
      </c>
      <c r="BC29">
        <v>12</v>
      </c>
      <c r="BD29">
        <v>20</v>
      </c>
      <c r="BE29">
        <v>74</v>
      </c>
      <c r="BF29">
        <v>23</v>
      </c>
      <c r="BG29">
        <v>31.08</v>
      </c>
      <c r="BH29">
        <v>2</v>
      </c>
      <c r="BI29">
        <v>2</v>
      </c>
      <c r="BJ29">
        <v>13</v>
      </c>
      <c r="BK29">
        <v>9</v>
      </c>
      <c r="BL29">
        <v>69.23</v>
      </c>
      <c r="BM29">
        <v>76</v>
      </c>
      <c r="BN29">
        <v>53</v>
      </c>
      <c r="BO29">
        <v>69.739999999999995</v>
      </c>
      <c r="BP29">
        <v>22</v>
      </c>
      <c r="BQ29">
        <v>6</v>
      </c>
      <c r="BR29">
        <v>27.27</v>
      </c>
      <c r="BS29">
        <v>5</v>
      </c>
      <c r="BT29">
        <v>2</v>
      </c>
      <c r="BU29">
        <v>40</v>
      </c>
      <c r="BV29">
        <v>57</v>
      </c>
      <c r="BW29">
        <v>14</v>
      </c>
      <c r="BX29">
        <v>9</v>
      </c>
      <c r="BY29">
        <v>2</v>
      </c>
      <c r="BZ29">
        <v>0</v>
      </c>
      <c r="CA29">
        <v>149</v>
      </c>
      <c r="CB29">
        <v>93</v>
      </c>
      <c r="CC29">
        <v>62.42</v>
      </c>
      <c r="CD29">
        <v>66</v>
      </c>
      <c r="CE29">
        <v>61</v>
      </c>
      <c r="CF29">
        <v>92.42</v>
      </c>
      <c r="CG29">
        <v>175</v>
      </c>
      <c r="CH29">
        <v>151</v>
      </c>
      <c r="CI29">
        <v>86.29</v>
      </c>
      <c r="CJ29">
        <v>39</v>
      </c>
      <c r="CK29">
        <v>18</v>
      </c>
      <c r="CL29">
        <v>46.15</v>
      </c>
      <c r="CM29">
        <v>55</v>
      </c>
      <c r="CN29">
        <v>32</v>
      </c>
      <c r="CO29">
        <v>58.18</v>
      </c>
      <c r="CP29">
        <v>65</v>
      </c>
      <c r="CQ29">
        <v>38</v>
      </c>
      <c r="CR29">
        <v>58.46</v>
      </c>
      <c r="CS29">
        <v>2</v>
      </c>
      <c r="CT29">
        <v>0</v>
      </c>
      <c r="CU29">
        <v>0</v>
      </c>
      <c r="CV29">
        <v>26</v>
      </c>
      <c r="CW29">
        <v>21</v>
      </c>
      <c r="CX29">
        <v>80.77</v>
      </c>
      <c r="CY29">
        <v>4</v>
      </c>
      <c r="CZ29">
        <v>16.399999999999999</v>
      </c>
      <c r="DA29">
        <v>3.66</v>
      </c>
      <c r="DB29">
        <v>8.74</v>
      </c>
      <c r="DC29">
        <v>19.41</v>
      </c>
      <c r="DD29">
        <v>20.67</v>
      </c>
      <c r="DE29">
        <v>7.29</v>
      </c>
    </row>
    <row r="30" spans="1:109" ht="12" customHeight="1" x14ac:dyDescent="0.2">
      <c r="A30" s="2" t="s">
        <v>105</v>
      </c>
      <c r="B30" s="2" t="s">
        <v>106</v>
      </c>
      <c r="C30" s="2" t="s">
        <v>58</v>
      </c>
      <c r="D30" s="2">
        <v>101</v>
      </c>
      <c r="E30" t="s">
        <v>54</v>
      </c>
      <c r="F30" t="s">
        <v>107</v>
      </c>
      <c r="G30">
        <v>1</v>
      </c>
      <c r="H30">
        <v>2.2200000000000002</v>
      </c>
      <c r="I30">
        <v>20</v>
      </c>
      <c r="J30">
        <v>3</v>
      </c>
      <c r="K30">
        <v>15</v>
      </c>
      <c r="L30">
        <v>460</v>
      </c>
      <c r="M30">
        <v>371</v>
      </c>
      <c r="N30">
        <v>80.650000000000006</v>
      </c>
      <c r="O30">
        <v>66.400000000000006</v>
      </c>
      <c r="P30">
        <v>135</v>
      </c>
      <c r="Q30">
        <v>15</v>
      </c>
      <c r="R30">
        <v>46</v>
      </c>
      <c r="S30">
        <v>74</v>
      </c>
      <c r="T30">
        <v>89</v>
      </c>
      <c r="U30">
        <v>27</v>
      </c>
      <c r="V30">
        <v>47</v>
      </c>
      <c r="W30">
        <v>15</v>
      </c>
      <c r="X30">
        <v>242</v>
      </c>
      <c r="Y30">
        <v>103</v>
      </c>
      <c r="Z30">
        <v>42.56</v>
      </c>
      <c r="AA30">
        <v>12</v>
      </c>
      <c r="AB30">
        <v>2</v>
      </c>
      <c r="AC30">
        <v>16.670000000000002</v>
      </c>
      <c r="AD30">
        <v>46</v>
      </c>
      <c r="AE30">
        <v>10</v>
      </c>
      <c r="AF30">
        <v>21.74</v>
      </c>
      <c r="AG30">
        <v>1</v>
      </c>
      <c r="AH30">
        <v>0</v>
      </c>
      <c r="AI30">
        <v>0</v>
      </c>
      <c r="AJ30">
        <v>31</v>
      </c>
      <c r="AK30">
        <v>8</v>
      </c>
      <c r="AL30">
        <v>25.81</v>
      </c>
      <c r="AM30">
        <v>15</v>
      </c>
      <c r="AN30">
        <v>7</v>
      </c>
      <c r="AO30">
        <v>46.67</v>
      </c>
      <c r="AP30">
        <v>4</v>
      </c>
      <c r="AQ30">
        <v>0</v>
      </c>
      <c r="AR30">
        <v>0</v>
      </c>
      <c r="AS30">
        <v>1</v>
      </c>
      <c r="AT30">
        <v>1</v>
      </c>
      <c r="AU30">
        <v>100</v>
      </c>
      <c r="AV30">
        <v>30</v>
      </c>
      <c r="AW30">
        <v>9</v>
      </c>
      <c r="AX30">
        <v>30</v>
      </c>
      <c r="AY30">
        <v>11</v>
      </c>
      <c r="AZ30">
        <v>6</v>
      </c>
      <c r="BA30">
        <v>32</v>
      </c>
      <c r="BB30">
        <v>5</v>
      </c>
      <c r="BC30">
        <v>19</v>
      </c>
      <c r="BD30">
        <v>25</v>
      </c>
      <c r="BE30">
        <v>107</v>
      </c>
      <c r="BF30">
        <v>32</v>
      </c>
      <c r="BG30">
        <v>29.91</v>
      </c>
      <c r="BH30">
        <v>0</v>
      </c>
      <c r="BI30">
        <v>1</v>
      </c>
      <c r="BJ30">
        <v>6</v>
      </c>
      <c r="BK30">
        <v>2</v>
      </c>
      <c r="BL30">
        <v>33.33</v>
      </c>
      <c r="BM30">
        <v>50</v>
      </c>
      <c r="BN30">
        <v>38</v>
      </c>
      <c r="BO30">
        <v>76</v>
      </c>
      <c r="BP30">
        <v>43</v>
      </c>
      <c r="BQ30">
        <v>19</v>
      </c>
      <c r="BR30">
        <v>44.19</v>
      </c>
      <c r="BS30">
        <v>1</v>
      </c>
      <c r="BT30">
        <v>1</v>
      </c>
      <c r="BU30">
        <v>100</v>
      </c>
      <c r="BV30">
        <v>26</v>
      </c>
      <c r="BW30">
        <v>14</v>
      </c>
      <c r="BX30">
        <v>12</v>
      </c>
      <c r="BY30">
        <v>1</v>
      </c>
      <c r="BZ30">
        <v>0</v>
      </c>
      <c r="CA30">
        <v>173</v>
      </c>
      <c r="CB30">
        <v>127</v>
      </c>
      <c r="CC30">
        <v>73.41</v>
      </c>
      <c r="CD30">
        <v>59</v>
      </c>
      <c r="CE30">
        <v>57</v>
      </c>
      <c r="CF30">
        <v>96.61</v>
      </c>
      <c r="CG30">
        <v>159</v>
      </c>
      <c r="CH30">
        <v>137</v>
      </c>
      <c r="CI30">
        <v>86.16</v>
      </c>
      <c r="CJ30">
        <v>38</v>
      </c>
      <c r="CK30">
        <v>21</v>
      </c>
      <c r="CL30">
        <v>55.26</v>
      </c>
      <c r="CM30">
        <v>47</v>
      </c>
      <c r="CN30">
        <v>31</v>
      </c>
      <c r="CO30">
        <v>65.959999999999994</v>
      </c>
      <c r="CP30">
        <v>72</v>
      </c>
      <c r="CQ30">
        <v>54</v>
      </c>
      <c r="CR30">
        <v>75</v>
      </c>
      <c r="CS30">
        <v>0</v>
      </c>
      <c r="CT30">
        <v>0</v>
      </c>
      <c r="CU30">
        <v>0</v>
      </c>
      <c r="CV30">
        <v>38</v>
      </c>
      <c r="CW30">
        <v>35</v>
      </c>
      <c r="CX30">
        <v>92.11</v>
      </c>
      <c r="CY30">
        <v>3</v>
      </c>
      <c r="CZ30">
        <v>15.4</v>
      </c>
      <c r="DA30">
        <v>3.54</v>
      </c>
      <c r="DB30">
        <v>8.26</v>
      </c>
      <c r="DC30">
        <v>19.66</v>
      </c>
      <c r="DD30">
        <v>19.57</v>
      </c>
      <c r="DE30">
        <v>6.11</v>
      </c>
    </row>
    <row r="31" spans="1:109" ht="12" customHeight="1" x14ac:dyDescent="0.2">
      <c r="A31" s="2" t="s">
        <v>105</v>
      </c>
      <c r="B31" s="2" t="s">
        <v>106</v>
      </c>
      <c r="C31" s="2" t="s">
        <v>58</v>
      </c>
      <c r="D31" s="2">
        <v>101</v>
      </c>
      <c r="E31" t="s">
        <v>60</v>
      </c>
      <c r="F31" t="s">
        <v>108</v>
      </c>
      <c r="G31">
        <v>1</v>
      </c>
      <c r="H31">
        <v>0.65</v>
      </c>
      <c r="I31">
        <v>6</v>
      </c>
      <c r="J31">
        <v>2</v>
      </c>
      <c r="K31">
        <v>33.33</v>
      </c>
      <c r="L31">
        <v>231</v>
      </c>
      <c r="M31">
        <v>137</v>
      </c>
      <c r="N31">
        <v>59.31</v>
      </c>
      <c r="O31">
        <v>33.6</v>
      </c>
      <c r="P31">
        <v>137</v>
      </c>
      <c r="Q31">
        <v>42</v>
      </c>
      <c r="R31">
        <v>50</v>
      </c>
      <c r="S31">
        <v>45</v>
      </c>
      <c r="T31">
        <v>76</v>
      </c>
      <c r="U31">
        <v>42</v>
      </c>
      <c r="V31">
        <v>27</v>
      </c>
      <c r="W31">
        <v>7</v>
      </c>
      <c r="X31">
        <v>242</v>
      </c>
      <c r="Y31">
        <v>122</v>
      </c>
      <c r="Z31">
        <v>50.41</v>
      </c>
      <c r="AA31">
        <v>4</v>
      </c>
      <c r="AB31">
        <v>1</v>
      </c>
      <c r="AC31">
        <v>25</v>
      </c>
      <c r="AD31">
        <v>21</v>
      </c>
      <c r="AE31">
        <v>4</v>
      </c>
      <c r="AF31">
        <v>19.05</v>
      </c>
      <c r="AG31">
        <v>1</v>
      </c>
      <c r="AH31">
        <v>0</v>
      </c>
      <c r="AI31">
        <v>0</v>
      </c>
      <c r="AJ31">
        <v>24</v>
      </c>
      <c r="AK31">
        <v>2</v>
      </c>
      <c r="AL31">
        <v>8.33</v>
      </c>
      <c r="AM31">
        <v>2</v>
      </c>
      <c r="AN31">
        <v>1</v>
      </c>
      <c r="AO31">
        <v>50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7</v>
      </c>
      <c r="AW31">
        <v>5</v>
      </c>
      <c r="AX31">
        <v>71.430000000000007</v>
      </c>
      <c r="AY31">
        <v>4</v>
      </c>
      <c r="AZ31">
        <v>7</v>
      </c>
      <c r="BA31">
        <v>17</v>
      </c>
      <c r="BB31">
        <v>3</v>
      </c>
      <c r="BC31">
        <v>3</v>
      </c>
      <c r="BD31">
        <v>12</v>
      </c>
      <c r="BE31">
        <v>50</v>
      </c>
      <c r="BF31">
        <v>12</v>
      </c>
      <c r="BG31">
        <v>24</v>
      </c>
      <c r="BH31">
        <v>0</v>
      </c>
      <c r="BI31">
        <v>1</v>
      </c>
      <c r="BJ31">
        <v>20</v>
      </c>
      <c r="BK31">
        <v>5</v>
      </c>
      <c r="BL31">
        <v>25</v>
      </c>
      <c r="BM31">
        <v>107</v>
      </c>
      <c r="BN31">
        <v>75</v>
      </c>
      <c r="BO31">
        <v>70.09</v>
      </c>
      <c r="BP31">
        <v>43</v>
      </c>
      <c r="BQ31">
        <v>19</v>
      </c>
      <c r="BR31">
        <v>44.19</v>
      </c>
      <c r="BS31">
        <v>5</v>
      </c>
      <c r="BT31">
        <v>4</v>
      </c>
      <c r="BU31">
        <v>80</v>
      </c>
      <c r="BV31">
        <v>62</v>
      </c>
      <c r="BW31">
        <v>28</v>
      </c>
      <c r="BX31">
        <v>13</v>
      </c>
      <c r="BY31">
        <v>4</v>
      </c>
      <c r="BZ31">
        <v>0</v>
      </c>
      <c r="CA31">
        <v>114</v>
      </c>
      <c r="CB31">
        <v>54</v>
      </c>
      <c r="CC31">
        <v>47.37</v>
      </c>
      <c r="CD31">
        <v>20</v>
      </c>
      <c r="CE31">
        <v>17</v>
      </c>
      <c r="CF31">
        <v>85</v>
      </c>
      <c r="CG31">
        <v>55</v>
      </c>
      <c r="CH31">
        <v>42</v>
      </c>
      <c r="CI31">
        <v>76.36</v>
      </c>
      <c r="CJ31">
        <v>45</v>
      </c>
      <c r="CK31">
        <v>18</v>
      </c>
      <c r="CL31">
        <v>40</v>
      </c>
      <c r="CM31">
        <v>38</v>
      </c>
      <c r="CN31">
        <v>18</v>
      </c>
      <c r="CO31">
        <v>47.37</v>
      </c>
      <c r="CP31">
        <v>74</v>
      </c>
      <c r="CQ31">
        <v>37</v>
      </c>
      <c r="CR31">
        <v>50</v>
      </c>
      <c r="CS31">
        <v>0</v>
      </c>
      <c r="CT31">
        <v>0</v>
      </c>
      <c r="CU31">
        <v>0</v>
      </c>
      <c r="CV31">
        <v>22</v>
      </c>
      <c r="CW31">
        <v>17</v>
      </c>
      <c r="CX31">
        <v>77.27</v>
      </c>
      <c r="CY31">
        <v>11</v>
      </c>
      <c r="CZ31">
        <v>15.28</v>
      </c>
      <c r="DA31">
        <v>2.08</v>
      </c>
      <c r="DB31">
        <v>19.48</v>
      </c>
      <c r="DC31">
        <v>21.06</v>
      </c>
      <c r="DD31">
        <v>20.010000000000002</v>
      </c>
      <c r="DE31">
        <v>10.84</v>
      </c>
    </row>
  </sheetData>
  <mergeCells count="83">
    <mergeCell ref="A30:A31"/>
    <mergeCell ref="B30:B31"/>
    <mergeCell ref="C30:C31"/>
    <mergeCell ref="D30:D31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10:A11"/>
    <mergeCell ref="B10:B11"/>
    <mergeCell ref="C10:C11"/>
    <mergeCell ref="D10:D11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CS1:CU1"/>
    <mergeCell ref="CV1:CX1"/>
    <mergeCell ref="A4:A5"/>
    <mergeCell ref="B4:B5"/>
    <mergeCell ref="C4:C5"/>
    <mergeCell ref="D4:D5"/>
    <mergeCell ref="CD1:CF1"/>
    <mergeCell ref="CG1:CI1"/>
    <mergeCell ref="CJ1:CL1"/>
    <mergeCell ref="CM1:CO1"/>
    <mergeCell ref="CP1:CR1"/>
    <mergeCell ref="BJ1:BL1"/>
    <mergeCell ref="BM1:BO1"/>
    <mergeCell ref="BP1:BR1"/>
    <mergeCell ref="BS1:BU1"/>
    <mergeCell ref="CA1:CC1"/>
    <mergeCell ref="AP1:AR1"/>
    <mergeCell ref="AS1:AU1"/>
    <mergeCell ref="AV1:AX1"/>
    <mergeCell ref="BA1:BC1"/>
    <mergeCell ref="BE1:BG1"/>
    <mergeCell ref="AA1:AC1"/>
    <mergeCell ref="AD1:AF1"/>
    <mergeCell ref="AG1:AI1"/>
    <mergeCell ref="AJ1:AL1"/>
    <mergeCell ref="AM1:AO1"/>
    <mergeCell ref="I1:K1"/>
    <mergeCell ref="L1:N1"/>
    <mergeCell ref="P1:S1"/>
    <mergeCell ref="T1:W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2026-02-04T05:10:26Z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2026-01-27T17:16:52Z</dcterms:created>
  <cp:revision>0</cp:revision>
</cp:coreProperties>
</file>